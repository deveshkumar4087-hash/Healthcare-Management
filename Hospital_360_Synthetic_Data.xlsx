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_Analytics_OPD" sheetId="1" state="visible" r:id="rId1"/>
    <sheet xmlns:r="http://schemas.openxmlformats.org/officeDocument/2006/relationships" name="22_Analytics_IPD" sheetId="2" state="visible" r:id="rId2"/>
    <sheet xmlns:r="http://schemas.openxmlformats.org/officeDocument/2006/relationships" name="23_Analytics_Emergency_OT" sheetId="3" state="visible" r:id="rId3"/>
    <sheet xmlns:r="http://schemas.openxmlformats.org/officeDocument/2006/relationships" name="24_Analytics_Diag_Pharmacy" sheetId="4" state="visible" r:id="rId4"/>
    <sheet xmlns:r="http://schemas.openxmlformats.org/officeDocument/2006/relationships" name="25_Analytics_Beds_Occupancy" sheetId="5" state="visible" r:id="rId5"/>
    <sheet xmlns:r="http://schemas.openxmlformats.org/officeDocument/2006/relationships" name="26_Analytics_Revenue" sheetId="6" state="visible" r:id="rId6"/>
    <sheet xmlns:r="http://schemas.openxmlformats.org/officeDocument/2006/relationships" name="27_Analytics_Quality" sheetId="7" state="visible" r:id="rId7"/>
    <sheet xmlns:r="http://schemas.openxmlformats.org/officeDocument/2006/relationships" name="28_Analytics_HR" sheetId="8" state="visible" r:id="rId8"/>
    <sheet xmlns:r="http://schemas.openxmlformats.org/officeDocument/2006/relationships" name="29_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8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b val="1"/>
      <color rgb="00C00000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sz val="10"/>
    </font>
    <font>
      <name val="Arial"/>
      <i val="1"/>
      <color rgb="00595959"/>
      <sz val="11"/>
    </font>
    <font>
      <name val="Arial"/>
      <i val="1"/>
      <color rgb="007F7F7F"/>
      <sz val="9"/>
    </font>
  </fonts>
  <fills count="5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4" fillId="0" borderId="1" applyAlignment="1" pivotButton="0" quotePrefix="0" xfId="0">
      <alignment wrapText="1"/>
    </xf>
    <xf numFmtId="3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5" fillId="0" borderId="0" pivotButton="0" quotePrefix="0" xfId="0"/>
    <xf numFmtId="0" fontId="4" fillId="0" borderId="1" pivotButton="0" quotePrefix="0" xfId="0"/>
    <xf numFmtId="164" fontId="4" fillId="0" borderId="1" pivotButton="0" quotePrefix="0" xfId="0"/>
    <xf numFmtId="165" fontId="4" fillId="0" borderId="1" applyAlignment="1" pivotButton="0" quotePrefix="0" xfId="0">
      <alignment horizontal="center"/>
    </xf>
    <xf numFmtId="165" fontId="5" fillId="4" borderId="1" applyAlignment="1" pivotButton="0" quotePrefix="0" xfId="0">
      <alignment horizontal="center"/>
    </xf>
    <xf numFmtId="0" fontId="6" fillId="0" borderId="0" pivotButton="0" quotePrefix="0" xfId="0"/>
    <xf numFmtId="0" fontId="5" fillId="4" borderId="0" applyAlignment="1" pivotButton="0" quotePrefix="0" xfId="0">
      <alignment vertical="center" indent="1"/>
    </xf>
    <xf numFmtId="0" fontId="3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ANALYTICS — OPD FOOTFALL &amp; CASE-MIX</t>
        </is>
      </c>
    </row>
    <row r="2">
      <c r="A2" s="2" t="inlineStr">
        <is>
          <t>⚠ SYNTHETIC DATA — generated for this academic model to demonstrate the analytics layer. Not real patient or hospital data.</t>
        </is>
      </c>
    </row>
    <row r="3">
      <c r="B3" s="3" t="inlineStr">
        <is>
          <t>Apr-2025</t>
        </is>
      </c>
      <c r="C3" s="3" t="inlineStr">
        <is>
          <t>May-2025</t>
        </is>
      </c>
      <c r="D3" s="3" t="inlineStr">
        <is>
          <t>Jun-2025</t>
        </is>
      </c>
      <c r="E3" s="3" t="inlineStr">
        <is>
          <t>Jul-2025</t>
        </is>
      </c>
      <c r="F3" s="3" t="inlineStr">
        <is>
          <t>Aug-2025</t>
        </is>
      </c>
      <c r="G3" s="3" t="inlineStr">
        <is>
          <t>Sep-2025</t>
        </is>
      </c>
      <c r="H3" s="3" t="inlineStr">
        <is>
          <t>Oct-2025</t>
        </is>
      </c>
      <c r="I3" s="3" t="inlineStr">
        <is>
          <t>Nov-2025</t>
        </is>
      </c>
      <c r="J3" s="3" t="inlineStr">
        <is>
          <t>Dec-2025</t>
        </is>
      </c>
      <c r="K3" s="3" t="inlineStr">
        <is>
          <t>Jan-2026</t>
        </is>
      </c>
      <c r="L3" s="3" t="inlineStr">
        <is>
          <t>Feb-2026</t>
        </is>
      </c>
      <c r="M3" s="3" t="inlineStr">
        <is>
          <t>Mar-2026</t>
        </is>
      </c>
      <c r="N3" s="3" t="inlineStr">
        <is>
          <t>Apr-2026</t>
        </is>
      </c>
      <c r="O3" s="3" t="inlineStr">
        <is>
          <t>May-2026</t>
        </is>
      </c>
      <c r="P3" s="3" t="inlineStr">
        <is>
          <t>Jun-2026</t>
        </is>
      </c>
      <c r="Q3" s="3" t="inlineStr">
        <is>
          <t>Jul-2026</t>
        </is>
      </c>
      <c r="R3" s="3" t="inlineStr">
        <is>
          <t>Aug-2026</t>
        </is>
      </c>
      <c r="S3" s="3" t="inlineStr">
        <is>
          <t>Sep-2026</t>
        </is>
      </c>
      <c r="T3" s="3" t="inlineStr">
        <is>
          <t>Oct-2026</t>
        </is>
      </c>
      <c r="U3" s="3" t="inlineStr">
        <is>
          <t>Nov-2026</t>
        </is>
      </c>
      <c r="V3" s="3" t="inlineStr">
        <is>
          <t>Dec-2026</t>
        </is>
      </c>
      <c r="W3" s="3" t="inlineStr">
        <is>
          <t>Jan-2027</t>
        </is>
      </c>
      <c r="X3" s="3" t="inlineStr">
        <is>
          <t>Feb-2027</t>
        </is>
      </c>
      <c r="Y3" s="3" t="inlineStr">
        <is>
          <t>Mar-2027</t>
        </is>
      </c>
    </row>
    <row r="4">
      <c r="A4" s="4" t="inlineStr">
        <is>
          <t>Total OPD Footfall</t>
        </is>
      </c>
      <c r="B4" s="5" t="n">
        <v>6208.4</v>
      </c>
      <c r="C4" s="5" t="n">
        <v>5978.1</v>
      </c>
      <c r="D4" s="5" t="n">
        <v>5923.8</v>
      </c>
      <c r="E4" s="5" t="n">
        <v>5831.1</v>
      </c>
      <c r="F4" s="5" t="n">
        <v>6106.3</v>
      </c>
      <c r="G4" s="5" t="n">
        <v>6343.5</v>
      </c>
      <c r="H4" s="5" t="n">
        <v>6740</v>
      </c>
      <c r="I4" s="5" t="n">
        <v>6563.9</v>
      </c>
      <c r="J4" s="5" t="n">
        <v>6625.9</v>
      </c>
      <c r="K4" s="5" t="n">
        <v>6406.6</v>
      </c>
      <c r="L4" s="5" t="n">
        <v>6319.3</v>
      </c>
      <c r="M4" s="5" t="n">
        <v>6436.9</v>
      </c>
      <c r="N4" s="5" t="n">
        <v>6211.9</v>
      </c>
      <c r="O4" s="5" t="n">
        <v>6106.9</v>
      </c>
      <c r="P4" s="5" t="n">
        <v>6324.7</v>
      </c>
      <c r="Q4" s="5" t="n">
        <v>6470.9</v>
      </c>
      <c r="R4" s="5" t="n">
        <v>6386.1</v>
      </c>
      <c r="S4" s="5" t="n">
        <v>6565.3</v>
      </c>
      <c r="T4" s="5" t="n">
        <v>6906.3</v>
      </c>
      <c r="U4" s="5" t="n">
        <v>6675.3</v>
      </c>
      <c r="V4" s="5" t="n">
        <v>7015.6</v>
      </c>
      <c r="W4" s="5" t="n">
        <v>7284.6</v>
      </c>
      <c r="X4" s="5" t="n">
        <v>7300.7</v>
      </c>
      <c r="Y4" s="5" t="n">
        <v>7184</v>
      </c>
    </row>
    <row r="5">
      <c r="A5" s="4" t="inlineStr">
        <is>
          <t>New Patients</t>
        </is>
      </c>
      <c r="B5" s="5" t="n">
        <v>2462</v>
      </c>
      <c r="C5" s="5" t="n">
        <v>2074</v>
      </c>
      <c r="D5" s="5" t="n">
        <v>1940</v>
      </c>
      <c r="E5" s="5" t="n">
        <v>1911</v>
      </c>
      <c r="F5" s="5" t="n">
        <v>2368</v>
      </c>
      <c r="G5" s="5" t="n">
        <v>2336</v>
      </c>
      <c r="H5" s="5" t="n">
        <v>2592</v>
      </c>
      <c r="I5" s="5" t="n">
        <v>2484</v>
      </c>
      <c r="J5" s="5" t="n">
        <v>2405</v>
      </c>
      <c r="K5" s="5" t="n">
        <v>2549</v>
      </c>
      <c r="L5" s="5" t="n">
        <v>2214</v>
      </c>
      <c r="M5" s="5" t="n">
        <v>2344</v>
      </c>
      <c r="N5" s="5" t="n">
        <v>2400</v>
      </c>
      <c r="O5" s="5" t="n">
        <v>2256</v>
      </c>
      <c r="P5" s="5" t="n">
        <v>2460</v>
      </c>
      <c r="Q5" s="5" t="n">
        <v>2370</v>
      </c>
      <c r="R5" s="5" t="n">
        <v>2404</v>
      </c>
      <c r="S5" s="5" t="n">
        <v>2125</v>
      </c>
      <c r="T5" s="5" t="n">
        <v>2336</v>
      </c>
      <c r="U5" s="5" t="n">
        <v>2291</v>
      </c>
      <c r="V5" s="5" t="n">
        <v>2290</v>
      </c>
      <c r="W5" s="5" t="n">
        <v>2467</v>
      </c>
      <c r="X5" s="5" t="n">
        <v>2395</v>
      </c>
      <c r="Y5" s="5" t="n">
        <v>2459</v>
      </c>
    </row>
    <row r="6">
      <c r="A6" s="4" t="inlineStr">
        <is>
          <t>Follow-up Patients</t>
        </is>
      </c>
      <c r="B6" s="5" t="n">
        <v>3746</v>
      </c>
      <c r="C6" s="5" t="n">
        <v>3904</v>
      </c>
      <c r="D6" s="5" t="n">
        <v>3984</v>
      </c>
      <c r="E6" s="5" t="n">
        <v>3920</v>
      </c>
      <c r="F6" s="5" t="n">
        <v>3738</v>
      </c>
      <c r="G6" s="5" t="n">
        <v>4008</v>
      </c>
      <c r="H6" s="5" t="n">
        <v>4148</v>
      </c>
      <c r="I6" s="5" t="n">
        <v>4080</v>
      </c>
      <c r="J6" s="5" t="n">
        <v>4221</v>
      </c>
      <c r="K6" s="5" t="n">
        <v>3858</v>
      </c>
      <c r="L6" s="5" t="n">
        <v>4105</v>
      </c>
      <c r="M6" s="5" t="n">
        <v>4093</v>
      </c>
      <c r="N6" s="5" t="n">
        <v>3812</v>
      </c>
      <c r="O6" s="5" t="n">
        <v>3851</v>
      </c>
      <c r="P6" s="5" t="n">
        <v>3865</v>
      </c>
      <c r="Q6" s="5" t="n">
        <v>4101</v>
      </c>
      <c r="R6" s="5" t="n">
        <v>3982</v>
      </c>
      <c r="S6" s="5" t="n">
        <v>4440</v>
      </c>
      <c r="T6" s="5" t="n">
        <v>4570</v>
      </c>
      <c r="U6" s="5" t="n">
        <v>4384</v>
      </c>
      <c r="V6" s="5" t="n">
        <v>4726</v>
      </c>
      <c r="W6" s="5" t="n">
        <v>4818</v>
      </c>
      <c r="X6" s="5" t="n">
        <v>4906</v>
      </c>
      <c r="Y6" s="5" t="n">
        <v>4725</v>
      </c>
    </row>
    <row r="7">
      <c r="A7" s="4" t="inlineStr">
        <is>
          <t>OPD→IPD Conversion Rate</t>
        </is>
      </c>
      <c r="B7" s="6" t="n">
        <v>530.367</v>
      </c>
      <c r="C7" s="6" t="n">
        <v>445.926</v>
      </c>
      <c r="D7" s="6" t="n">
        <v>443.143</v>
      </c>
      <c r="E7" s="6" t="n">
        <v>398.732</v>
      </c>
      <c r="F7" s="6" t="n">
        <v>431.588</v>
      </c>
      <c r="G7" s="6" t="n">
        <v>618.277</v>
      </c>
      <c r="H7" s="6" t="n">
        <v>579.11</v>
      </c>
      <c r="I7" s="6" t="n">
        <v>553.765</v>
      </c>
      <c r="J7" s="6" t="n">
        <v>442.912</v>
      </c>
      <c r="K7" s="6" t="n">
        <v>571.245</v>
      </c>
      <c r="L7" s="6" t="n">
        <v>420.462</v>
      </c>
      <c r="M7" s="6" t="n">
        <v>483.915</v>
      </c>
      <c r="N7" s="6" t="n">
        <v>618.587</v>
      </c>
      <c r="O7" s="6" t="n">
        <v>522.751</v>
      </c>
      <c r="P7" s="6" t="n">
        <v>520.384</v>
      </c>
      <c r="Q7" s="6" t="n">
        <v>565.457</v>
      </c>
      <c r="R7" s="6" t="n">
        <v>598.467</v>
      </c>
      <c r="S7" s="6" t="n">
        <v>597.705</v>
      </c>
      <c r="T7" s="6" t="n">
        <v>477.653</v>
      </c>
      <c r="U7" s="6" t="n">
        <v>409.089</v>
      </c>
      <c r="V7" s="6" t="n">
        <v>509.46</v>
      </c>
      <c r="W7" s="6" t="n">
        <v>515.091</v>
      </c>
      <c r="X7" s="6" t="n">
        <v>499.655</v>
      </c>
      <c r="Y7" s="6" t="n">
        <v>701.995</v>
      </c>
    </row>
    <row r="8">
      <c r="A8" s="7" t="inlineStr">
        <is>
          <t>Department-wise OPD Share (avg. of period, synthetic)</t>
        </is>
      </c>
    </row>
    <row r="9">
      <c r="A9" s="8" t="inlineStr">
        <is>
          <t>General Medicine</t>
        </is>
      </c>
      <c r="B9" s="9" t="n">
        <v>0.2</v>
      </c>
    </row>
    <row r="10">
      <c r="A10" s="8" t="inlineStr">
        <is>
          <t>Obstetrics &amp; Gynaecology</t>
        </is>
      </c>
      <c r="B10" s="9" t="n">
        <v>0.16</v>
      </c>
    </row>
    <row r="11">
      <c r="A11" s="8" t="inlineStr">
        <is>
          <t>Paediatrics</t>
        </is>
      </c>
      <c r="B11" s="9" t="n">
        <v>0.14</v>
      </c>
    </row>
    <row r="12">
      <c r="A12" s="8" t="inlineStr">
        <is>
          <t>Orthopaedics</t>
        </is>
      </c>
      <c r="B12" s="9" t="n">
        <v>0.13</v>
      </c>
    </row>
    <row r="13">
      <c r="A13" s="8" t="inlineStr">
        <is>
          <t>General Surgery</t>
        </is>
      </c>
      <c r="B13" s="9" t="n">
        <v>0.1</v>
      </c>
    </row>
    <row r="14">
      <c r="A14" s="8" t="inlineStr">
        <is>
          <t>ENT/Ophthalmology</t>
        </is>
      </c>
      <c r="B14" s="9" t="n">
        <v>0.09</v>
      </c>
    </row>
    <row r="15">
      <c r="A15" s="8" t="inlineStr">
        <is>
          <t>Skin/Dermatology</t>
        </is>
      </c>
      <c r="B15" s="9" t="n">
        <v>0.08</v>
      </c>
    </row>
    <row r="16">
      <c r="A16" s="8" t="inlineStr">
        <is>
          <t>Others</t>
        </is>
      </c>
      <c r="B16" s="9" t="n">
        <v>0.1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ANALYTICS — IPD ADMISSIONS &amp; ALOS</t>
        </is>
      </c>
    </row>
    <row r="2">
      <c r="A2" s="2" t="inlineStr">
        <is>
          <t>⚠ SYNTHETIC DATA — generated for this academic model to demonstrate the analytics layer. Not real patient or hospital data.</t>
        </is>
      </c>
    </row>
    <row r="3">
      <c r="B3" s="3" t="inlineStr">
        <is>
          <t>Apr-2025</t>
        </is>
      </c>
      <c r="C3" s="3" t="inlineStr">
        <is>
          <t>May-2025</t>
        </is>
      </c>
      <c r="D3" s="3" t="inlineStr">
        <is>
          <t>Jun-2025</t>
        </is>
      </c>
      <c r="E3" s="3" t="inlineStr">
        <is>
          <t>Jul-2025</t>
        </is>
      </c>
      <c r="F3" s="3" t="inlineStr">
        <is>
          <t>Aug-2025</t>
        </is>
      </c>
      <c r="G3" s="3" t="inlineStr">
        <is>
          <t>Sep-2025</t>
        </is>
      </c>
      <c r="H3" s="3" t="inlineStr">
        <is>
          <t>Oct-2025</t>
        </is>
      </c>
      <c r="I3" s="3" t="inlineStr">
        <is>
          <t>Nov-2025</t>
        </is>
      </c>
      <c r="J3" s="3" t="inlineStr">
        <is>
          <t>Dec-2025</t>
        </is>
      </c>
      <c r="K3" s="3" t="inlineStr">
        <is>
          <t>Jan-2026</t>
        </is>
      </c>
      <c r="L3" s="3" t="inlineStr">
        <is>
          <t>Feb-2026</t>
        </is>
      </c>
      <c r="M3" s="3" t="inlineStr">
        <is>
          <t>Mar-2026</t>
        </is>
      </c>
      <c r="N3" s="3" t="inlineStr">
        <is>
          <t>Apr-2026</t>
        </is>
      </c>
      <c r="O3" s="3" t="inlineStr">
        <is>
          <t>May-2026</t>
        </is>
      </c>
      <c r="P3" s="3" t="inlineStr">
        <is>
          <t>Jun-2026</t>
        </is>
      </c>
      <c r="Q3" s="3" t="inlineStr">
        <is>
          <t>Jul-2026</t>
        </is>
      </c>
      <c r="R3" s="3" t="inlineStr">
        <is>
          <t>Aug-2026</t>
        </is>
      </c>
      <c r="S3" s="3" t="inlineStr">
        <is>
          <t>Sep-2026</t>
        </is>
      </c>
      <c r="T3" s="3" t="inlineStr">
        <is>
          <t>Oct-2026</t>
        </is>
      </c>
      <c r="U3" s="3" t="inlineStr">
        <is>
          <t>Nov-2026</t>
        </is>
      </c>
      <c r="V3" s="3" t="inlineStr">
        <is>
          <t>Dec-2026</t>
        </is>
      </c>
      <c r="W3" s="3" t="inlineStr">
        <is>
          <t>Jan-2027</t>
        </is>
      </c>
      <c r="X3" s="3" t="inlineStr">
        <is>
          <t>Feb-2027</t>
        </is>
      </c>
      <c r="Y3" s="3" t="inlineStr">
        <is>
          <t>Mar-2027</t>
        </is>
      </c>
    </row>
    <row r="4">
      <c r="A4" s="4" t="inlineStr">
        <is>
          <t>IPD Admissions</t>
        </is>
      </c>
      <c r="B4" s="5" t="n">
        <v>302.5</v>
      </c>
      <c r="C4" s="5" t="n">
        <v>300.2</v>
      </c>
      <c r="D4" s="5" t="n">
        <v>313.2</v>
      </c>
      <c r="E4" s="5" t="n">
        <v>314.8</v>
      </c>
      <c r="F4" s="5" t="n">
        <v>339.6</v>
      </c>
      <c r="G4" s="5" t="n">
        <v>344.6</v>
      </c>
      <c r="H4" s="5" t="n">
        <v>340.9</v>
      </c>
      <c r="I4" s="5" t="n">
        <v>336.4</v>
      </c>
      <c r="J4" s="5" t="n">
        <v>345.9</v>
      </c>
      <c r="K4" s="5" t="n">
        <v>342.2</v>
      </c>
      <c r="L4" s="5" t="n">
        <v>352.8</v>
      </c>
      <c r="M4" s="5" t="n">
        <v>377.7</v>
      </c>
      <c r="N4" s="5" t="n">
        <v>380.7</v>
      </c>
      <c r="O4" s="5" t="n">
        <v>375.8</v>
      </c>
      <c r="P4" s="5" t="n">
        <v>405.6</v>
      </c>
      <c r="Q4" s="5" t="n">
        <v>414.1</v>
      </c>
      <c r="R4" s="5" t="n">
        <v>404.1</v>
      </c>
      <c r="S4" s="5" t="n">
        <v>391.9</v>
      </c>
      <c r="T4" s="5" t="n">
        <v>382.2</v>
      </c>
      <c r="U4" s="5" t="n">
        <v>395.6</v>
      </c>
      <c r="V4" s="5" t="n">
        <v>416.6</v>
      </c>
      <c r="W4" s="5" t="n">
        <v>421.4</v>
      </c>
      <c r="X4" s="5" t="n">
        <v>410.3</v>
      </c>
      <c r="Y4" s="5" t="n">
        <v>413.2</v>
      </c>
    </row>
    <row r="5">
      <c r="A5" s="4" t="inlineStr">
        <is>
          <t>ALOS (days)</t>
        </is>
      </c>
      <c r="B5" s="10" t="n">
        <v>4.3</v>
      </c>
      <c r="C5" s="10" t="n">
        <v>3.8</v>
      </c>
      <c r="D5" s="10" t="n">
        <v>4.3</v>
      </c>
      <c r="E5" s="10" t="n">
        <v>4.2</v>
      </c>
      <c r="F5" s="10" t="n">
        <v>3.3</v>
      </c>
      <c r="G5" s="10" t="n">
        <v>4</v>
      </c>
      <c r="H5" s="10" t="n">
        <v>4</v>
      </c>
      <c r="I5" s="10" t="n">
        <v>3.8</v>
      </c>
      <c r="J5" s="10" t="n">
        <v>3.6</v>
      </c>
      <c r="K5" s="10" t="n">
        <v>3.9</v>
      </c>
      <c r="L5" s="10" t="n">
        <v>3.4</v>
      </c>
      <c r="M5" s="10" t="n">
        <v>3.7</v>
      </c>
      <c r="N5" s="10" t="n">
        <v>3.8</v>
      </c>
      <c r="O5" s="10" t="n">
        <v>4.3</v>
      </c>
      <c r="P5" s="10" t="n">
        <v>4.2</v>
      </c>
      <c r="Q5" s="10" t="n">
        <v>3.6</v>
      </c>
      <c r="R5" s="10" t="n">
        <v>3.8</v>
      </c>
      <c r="S5" s="10" t="n">
        <v>3.5</v>
      </c>
      <c r="T5" s="10" t="n">
        <v>4.2</v>
      </c>
      <c r="U5" s="10" t="n">
        <v>4.2</v>
      </c>
      <c r="V5" s="10" t="n">
        <v>3.6</v>
      </c>
      <c r="W5" s="10" t="n">
        <v>3.9</v>
      </c>
      <c r="X5" s="10" t="n">
        <v>3.9</v>
      </c>
      <c r="Y5" s="10" t="n">
        <v>3.5</v>
      </c>
    </row>
    <row r="6">
      <c r="A6" s="4" t="inlineStr">
        <is>
          <t>Patient Days</t>
        </is>
      </c>
      <c r="B6" s="5" t="n">
        <v>1301</v>
      </c>
      <c r="C6" s="5" t="n">
        <v>1141</v>
      </c>
      <c r="D6" s="5" t="n">
        <v>1347</v>
      </c>
      <c r="E6" s="5" t="n">
        <v>1322</v>
      </c>
      <c r="F6" s="5" t="n">
        <v>1121</v>
      </c>
      <c r="G6" s="5" t="n">
        <v>1378</v>
      </c>
      <c r="H6" s="5" t="n">
        <v>1364</v>
      </c>
      <c r="I6" s="5" t="n">
        <v>1278</v>
      </c>
      <c r="J6" s="5" t="n">
        <v>1245</v>
      </c>
      <c r="K6" s="5" t="n">
        <v>1335</v>
      </c>
      <c r="L6" s="5" t="n">
        <v>1200</v>
      </c>
      <c r="M6" s="5" t="n">
        <v>1397</v>
      </c>
      <c r="N6" s="5" t="n">
        <v>1447</v>
      </c>
      <c r="O6" s="5" t="n">
        <v>1616</v>
      </c>
      <c r="P6" s="5" t="n">
        <v>1704</v>
      </c>
      <c r="Q6" s="5" t="n">
        <v>1491</v>
      </c>
      <c r="R6" s="5" t="n">
        <v>1536</v>
      </c>
      <c r="S6" s="5" t="n">
        <v>1372</v>
      </c>
      <c r="T6" s="5" t="n">
        <v>1605</v>
      </c>
      <c r="U6" s="5" t="n">
        <v>1662</v>
      </c>
      <c r="V6" s="5" t="n">
        <v>1500</v>
      </c>
      <c r="W6" s="5" t="n">
        <v>1643</v>
      </c>
      <c r="X6" s="5" t="n">
        <v>1600</v>
      </c>
      <c r="Y6" s="5" t="n">
        <v>1446</v>
      </c>
    </row>
    <row r="7">
      <c r="A7" s="4" t="inlineStr">
        <is>
          <t>30-Day Readmission Rate</t>
        </is>
      </c>
      <c r="B7" s="6" t="n">
        <v>0.039</v>
      </c>
      <c r="C7" s="6" t="n">
        <v>0.033</v>
      </c>
      <c r="D7" s="6" t="n">
        <v>0.039</v>
      </c>
      <c r="E7" s="6" t="n">
        <v>0.033</v>
      </c>
      <c r="F7" s="6" t="n">
        <v>0.02</v>
      </c>
      <c r="G7" s="6" t="n">
        <v>0.028</v>
      </c>
      <c r="H7" s="6" t="n">
        <v>0.02</v>
      </c>
      <c r="I7" s="6" t="n">
        <v>0.043</v>
      </c>
      <c r="J7" s="6" t="n">
        <v>0.042</v>
      </c>
      <c r="K7" s="6" t="n">
        <v>0.041</v>
      </c>
      <c r="L7" s="6" t="n">
        <v>0.028</v>
      </c>
      <c r="M7" s="6" t="n">
        <v>0.021</v>
      </c>
      <c r="N7" s="6" t="n">
        <v>0.042</v>
      </c>
      <c r="O7" s="6" t="n">
        <v>0.044</v>
      </c>
      <c r="P7" s="6" t="n">
        <v>0.022</v>
      </c>
      <c r="Q7" s="6" t="n">
        <v>0.032</v>
      </c>
      <c r="R7" s="6" t="n">
        <v>0.022</v>
      </c>
      <c r="S7" s="6" t="n">
        <v>0.039</v>
      </c>
      <c r="T7" s="6" t="n">
        <v>0.039</v>
      </c>
      <c r="U7" s="6" t="n">
        <v>0.023</v>
      </c>
      <c r="V7" s="6" t="n">
        <v>0.032</v>
      </c>
      <c r="W7" s="6" t="n">
        <v>0.034</v>
      </c>
      <c r="X7" s="6" t="n">
        <v>0.027</v>
      </c>
      <c r="Y7" s="6" t="n">
        <v>0.042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ANALYTICS — EMERGENCY &amp; OT UTILISATION</t>
        </is>
      </c>
    </row>
    <row r="2">
      <c r="A2" s="2" t="inlineStr">
        <is>
          <t>⚠ SYNTHETIC DATA — generated for this academic model to demonstrate the analytics layer. Not real patient or hospital data.</t>
        </is>
      </c>
    </row>
    <row r="3">
      <c r="B3" s="3" t="inlineStr">
        <is>
          <t>Apr-2025</t>
        </is>
      </c>
      <c r="C3" s="3" t="inlineStr">
        <is>
          <t>May-2025</t>
        </is>
      </c>
      <c r="D3" s="3" t="inlineStr">
        <is>
          <t>Jun-2025</t>
        </is>
      </c>
      <c r="E3" s="3" t="inlineStr">
        <is>
          <t>Jul-2025</t>
        </is>
      </c>
      <c r="F3" s="3" t="inlineStr">
        <is>
          <t>Aug-2025</t>
        </is>
      </c>
      <c r="G3" s="3" t="inlineStr">
        <is>
          <t>Sep-2025</t>
        </is>
      </c>
      <c r="H3" s="3" t="inlineStr">
        <is>
          <t>Oct-2025</t>
        </is>
      </c>
      <c r="I3" s="3" t="inlineStr">
        <is>
          <t>Nov-2025</t>
        </is>
      </c>
      <c r="J3" s="3" t="inlineStr">
        <is>
          <t>Dec-2025</t>
        </is>
      </c>
      <c r="K3" s="3" t="inlineStr">
        <is>
          <t>Jan-2026</t>
        </is>
      </c>
      <c r="L3" s="3" t="inlineStr">
        <is>
          <t>Feb-2026</t>
        </is>
      </c>
      <c r="M3" s="3" t="inlineStr">
        <is>
          <t>Mar-2026</t>
        </is>
      </c>
      <c r="N3" s="3" t="inlineStr">
        <is>
          <t>Apr-2026</t>
        </is>
      </c>
      <c r="O3" s="3" t="inlineStr">
        <is>
          <t>May-2026</t>
        </is>
      </c>
      <c r="P3" s="3" t="inlineStr">
        <is>
          <t>Jun-2026</t>
        </is>
      </c>
      <c r="Q3" s="3" t="inlineStr">
        <is>
          <t>Jul-2026</t>
        </is>
      </c>
      <c r="R3" s="3" t="inlineStr">
        <is>
          <t>Aug-2026</t>
        </is>
      </c>
      <c r="S3" s="3" t="inlineStr">
        <is>
          <t>Sep-2026</t>
        </is>
      </c>
      <c r="T3" s="3" t="inlineStr">
        <is>
          <t>Oct-2026</t>
        </is>
      </c>
      <c r="U3" s="3" t="inlineStr">
        <is>
          <t>Nov-2026</t>
        </is>
      </c>
      <c r="V3" s="3" t="inlineStr">
        <is>
          <t>Dec-2026</t>
        </is>
      </c>
      <c r="W3" s="3" t="inlineStr">
        <is>
          <t>Jan-2027</t>
        </is>
      </c>
      <c r="X3" s="3" t="inlineStr">
        <is>
          <t>Feb-2027</t>
        </is>
      </c>
      <c r="Y3" s="3" t="inlineStr">
        <is>
          <t>Mar-2027</t>
        </is>
      </c>
    </row>
    <row r="4">
      <c r="A4" s="4" t="inlineStr">
        <is>
          <t>Emergency Visits</t>
        </is>
      </c>
      <c r="B4" s="5" t="n">
        <v>954</v>
      </c>
      <c r="C4" s="5" t="n">
        <v>930</v>
      </c>
      <c r="D4" s="5" t="n">
        <v>949.2</v>
      </c>
      <c r="E4" s="5" t="n">
        <v>994</v>
      </c>
      <c r="F4" s="5" t="n">
        <v>969.2</v>
      </c>
      <c r="G4" s="5" t="n">
        <v>958.7</v>
      </c>
      <c r="H4" s="5" t="n">
        <v>1038.9</v>
      </c>
      <c r="I4" s="5" t="n">
        <v>1074.4</v>
      </c>
      <c r="J4" s="5" t="n">
        <v>1082.3</v>
      </c>
      <c r="K4" s="5" t="n">
        <v>1100.9</v>
      </c>
      <c r="L4" s="5" t="n">
        <v>1067</v>
      </c>
      <c r="M4" s="5" t="n">
        <v>1046.4</v>
      </c>
      <c r="N4" s="5" t="n">
        <v>1040.5</v>
      </c>
      <c r="O4" s="5" t="n">
        <v>1067.9</v>
      </c>
      <c r="P4" s="5" t="n">
        <v>1048</v>
      </c>
      <c r="Q4" s="5" t="n">
        <v>1026.5</v>
      </c>
      <c r="R4" s="5" t="n">
        <v>984.9</v>
      </c>
      <c r="S4" s="5" t="n">
        <v>1017.1</v>
      </c>
      <c r="T4" s="5" t="n">
        <v>996.3</v>
      </c>
      <c r="U4" s="5" t="n">
        <v>1065.1</v>
      </c>
      <c r="V4" s="5" t="n">
        <v>1128.9</v>
      </c>
      <c r="W4" s="5" t="n">
        <v>1088.8</v>
      </c>
      <c r="X4" s="5" t="n">
        <v>1070.3</v>
      </c>
      <c r="Y4" s="5" t="n">
        <v>1108.8</v>
      </c>
    </row>
    <row r="5">
      <c r="A5" s="4" t="inlineStr">
        <is>
          <t>ER→Admission Rate</t>
        </is>
      </c>
      <c r="B5" s="6" t="n">
        <v>0.197</v>
      </c>
      <c r="C5" s="6" t="n">
        <v>0.191</v>
      </c>
      <c r="D5" s="6" t="n">
        <v>0.255</v>
      </c>
      <c r="E5" s="6" t="n">
        <v>0.226</v>
      </c>
      <c r="F5" s="6" t="n">
        <v>0.218</v>
      </c>
      <c r="G5" s="6" t="n">
        <v>0.243</v>
      </c>
      <c r="H5" s="6" t="n">
        <v>0.245</v>
      </c>
      <c r="I5" s="6" t="n">
        <v>0.195</v>
      </c>
      <c r="J5" s="6" t="n">
        <v>0.188</v>
      </c>
      <c r="K5" s="6" t="n">
        <v>0.214</v>
      </c>
      <c r="L5" s="6" t="n">
        <v>0.214</v>
      </c>
      <c r="M5" s="6" t="n">
        <v>0.217</v>
      </c>
      <c r="N5" s="6" t="n">
        <v>0.238</v>
      </c>
      <c r="O5" s="6" t="n">
        <v>0.234</v>
      </c>
      <c r="P5" s="6" t="n">
        <v>0.259</v>
      </c>
      <c r="Q5" s="6" t="n">
        <v>0.188</v>
      </c>
      <c r="R5" s="6" t="n">
        <v>0.212</v>
      </c>
      <c r="S5" s="6" t="n">
        <v>0.207</v>
      </c>
      <c r="T5" s="6" t="n">
        <v>0.249</v>
      </c>
      <c r="U5" s="6" t="n">
        <v>0.2</v>
      </c>
      <c r="V5" s="6" t="n">
        <v>0.195</v>
      </c>
      <c r="W5" s="6" t="n">
        <v>0.216</v>
      </c>
      <c r="X5" s="6" t="n">
        <v>0.214</v>
      </c>
      <c r="Y5" s="6" t="n">
        <v>0.202</v>
      </c>
    </row>
    <row r="6">
      <c r="A6" s="4" t="inlineStr">
        <is>
          <t>OT Cases Performed</t>
        </is>
      </c>
      <c r="B6" s="5" t="n">
        <v>117.6</v>
      </c>
      <c r="C6" s="5" t="n">
        <v>128.1</v>
      </c>
      <c r="D6" s="5" t="n">
        <v>129.5</v>
      </c>
      <c r="E6" s="5" t="n">
        <v>139.1</v>
      </c>
      <c r="F6" s="5" t="n">
        <v>142.8</v>
      </c>
      <c r="G6" s="5" t="n">
        <v>137</v>
      </c>
      <c r="H6" s="5" t="n">
        <v>149.4</v>
      </c>
      <c r="I6" s="5" t="n">
        <v>158.8</v>
      </c>
      <c r="J6" s="5" t="n">
        <v>171</v>
      </c>
      <c r="K6" s="5" t="n">
        <v>182.6</v>
      </c>
      <c r="L6" s="5" t="n">
        <v>192.9</v>
      </c>
      <c r="M6" s="5" t="n">
        <v>190.4</v>
      </c>
      <c r="N6" s="5" t="n">
        <v>193.9</v>
      </c>
      <c r="O6" s="5" t="n">
        <v>192.3</v>
      </c>
      <c r="P6" s="5" t="n">
        <v>194.3</v>
      </c>
      <c r="Q6" s="5" t="n">
        <v>189.7</v>
      </c>
      <c r="R6" s="5" t="n">
        <v>191.1</v>
      </c>
      <c r="S6" s="5" t="n">
        <v>204.3</v>
      </c>
      <c r="T6" s="5" t="n">
        <v>203.9</v>
      </c>
      <c r="U6" s="5" t="n">
        <v>213.4</v>
      </c>
      <c r="V6" s="5" t="n">
        <v>216.8</v>
      </c>
      <c r="W6" s="5" t="n">
        <v>219.7</v>
      </c>
      <c r="X6" s="5" t="n">
        <v>232.8</v>
      </c>
      <c r="Y6" s="5" t="n">
        <v>247</v>
      </c>
    </row>
    <row r="7">
      <c r="A7" s="4" t="inlineStr">
        <is>
          <t>OT Utilisation Rate</t>
        </is>
      </c>
      <c r="B7" s="6" t="n">
        <v>0.661</v>
      </c>
      <c r="C7" s="6" t="n">
        <v>0.694</v>
      </c>
      <c r="D7" s="6" t="n">
        <v>0.581</v>
      </c>
      <c r="E7" s="6" t="n">
        <v>0.609</v>
      </c>
      <c r="F7" s="6" t="n">
        <v>0.744</v>
      </c>
      <c r="G7" s="6" t="n">
        <v>0.666</v>
      </c>
      <c r="H7" s="6" t="n">
        <v>0.658</v>
      </c>
      <c r="I7" s="6" t="n">
        <v>0.7</v>
      </c>
      <c r="J7" s="6" t="n">
        <v>0.5610000000000001</v>
      </c>
      <c r="K7" s="6" t="n">
        <v>0.667</v>
      </c>
      <c r="L7" s="6" t="n">
        <v>0.651</v>
      </c>
      <c r="M7" s="6" t="n">
        <v>0.721</v>
      </c>
      <c r="N7" s="6" t="n">
        <v>0.581</v>
      </c>
      <c r="O7" s="6" t="n">
        <v>0.742</v>
      </c>
      <c r="P7" s="6" t="n">
        <v>0.5659999999999999</v>
      </c>
      <c r="Q7" s="6" t="n">
        <v>0.587</v>
      </c>
      <c r="R7" s="6" t="n">
        <v>0.669</v>
      </c>
      <c r="S7" s="6" t="n">
        <v>0.6850000000000001</v>
      </c>
      <c r="T7" s="6" t="n">
        <v>0.597</v>
      </c>
      <c r="U7" s="6" t="n">
        <v>0.574</v>
      </c>
      <c r="V7" s="6" t="n">
        <v>0.728</v>
      </c>
      <c r="W7" s="6" t="n">
        <v>0.599</v>
      </c>
      <c r="X7" s="6" t="n">
        <v>0.669</v>
      </c>
      <c r="Y7" s="6" t="n">
        <v>0.674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ANALYTICS — DIAGNOSTICS &amp; PHARMACY</t>
        </is>
      </c>
    </row>
    <row r="2">
      <c r="A2" s="2" t="inlineStr">
        <is>
          <t>⚠ SYNTHETIC DATA — generated for this academic model to demonstrate the analytics layer. Not real patient or hospital data.</t>
        </is>
      </c>
    </row>
    <row r="3">
      <c r="B3" s="3" t="inlineStr">
        <is>
          <t>Apr-2025</t>
        </is>
      </c>
      <c r="C3" s="3" t="inlineStr">
        <is>
          <t>May-2025</t>
        </is>
      </c>
      <c r="D3" s="3" t="inlineStr">
        <is>
          <t>Jun-2025</t>
        </is>
      </c>
      <c r="E3" s="3" t="inlineStr">
        <is>
          <t>Jul-2025</t>
        </is>
      </c>
      <c r="F3" s="3" t="inlineStr">
        <is>
          <t>Aug-2025</t>
        </is>
      </c>
      <c r="G3" s="3" t="inlineStr">
        <is>
          <t>Sep-2025</t>
        </is>
      </c>
      <c r="H3" s="3" t="inlineStr">
        <is>
          <t>Oct-2025</t>
        </is>
      </c>
      <c r="I3" s="3" t="inlineStr">
        <is>
          <t>Nov-2025</t>
        </is>
      </c>
      <c r="J3" s="3" t="inlineStr">
        <is>
          <t>Dec-2025</t>
        </is>
      </c>
      <c r="K3" s="3" t="inlineStr">
        <is>
          <t>Jan-2026</t>
        </is>
      </c>
      <c r="L3" s="3" t="inlineStr">
        <is>
          <t>Feb-2026</t>
        </is>
      </c>
      <c r="M3" s="3" t="inlineStr">
        <is>
          <t>Mar-2026</t>
        </is>
      </c>
      <c r="N3" s="3" t="inlineStr">
        <is>
          <t>Apr-2026</t>
        </is>
      </c>
      <c r="O3" s="3" t="inlineStr">
        <is>
          <t>May-2026</t>
        </is>
      </c>
      <c r="P3" s="3" t="inlineStr">
        <is>
          <t>Jun-2026</t>
        </is>
      </c>
      <c r="Q3" s="3" t="inlineStr">
        <is>
          <t>Jul-2026</t>
        </is>
      </c>
      <c r="R3" s="3" t="inlineStr">
        <is>
          <t>Aug-2026</t>
        </is>
      </c>
      <c r="S3" s="3" t="inlineStr">
        <is>
          <t>Sep-2026</t>
        </is>
      </c>
      <c r="T3" s="3" t="inlineStr">
        <is>
          <t>Oct-2026</t>
        </is>
      </c>
      <c r="U3" s="3" t="inlineStr">
        <is>
          <t>Nov-2026</t>
        </is>
      </c>
      <c r="V3" s="3" t="inlineStr">
        <is>
          <t>Dec-2026</t>
        </is>
      </c>
      <c r="W3" s="3" t="inlineStr">
        <is>
          <t>Jan-2027</t>
        </is>
      </c>
      <c r="X3" s="3" t="inlineStr">
        <is>
          <t>Feb-2027</t>
        </is>
      </c>
      <c r="Y3" s="3" t="inlineStr">
        <is>
          <t>Mar-2027</t>
        </is>
      </c>
    </row>
    <row r="4">
      <c r="A4" s="4" t="inlineStr">
        <is>
          <t>Lab Tests Performed</t>
        </is>
      </c>
      <c r="B4" s="5" t="n">
        <v>9078.200000000001</v>
      </c>
      <c r="C4" s="5" t="n">
        <v>9365.200000000001</v>
      </c>
      <c r="D4" s="5" t="n">
        <v>9581.200000000001</v>
      </c>
      <c r="E4" s="5" t="n">
        <v>10320.6</v>
      </c>
      <c r="F4" s="5" t="n">
        <v>10154.4</v>
      </c>
      <c r="G4" s="5" t="n">
        <v>10629.8</v>
      </c>
      <c r="H4" s="5" t="n">
        <v>10513.2</v>
      </c>
      <c r="I4" s="5" t="n">
        <v>10592.1</v>
      </c>
      <c r="J4" s="5" t="n">
        <v>11020.3</v>
      </c>
      <c r="K4" s="5" t="n">
        <v>10988.7</v>
      </c>
      <c r="L4" s="5" t="n">
        <v>10976.9</v>
      </c>
      <c r="M4" s="5" t="n">
        <v>11513.8</v>
      </c>
      <c r="N4" s="5" t="n">
        <v>11205.4</v>
      </c>
      <c r="O4" s="5" t="n">
        <v>11377</v>
      </c>
      <c r="P4" s="5" t="n">
        <v>12232.6</v>
      </c>
      <c r="Q4" s="5" t="n">
        <v>13102.3</v>
      </c>
      <c r="R4" s="5" t="n">
        <v>12826.7</v>
      </c>
      <c r="S4" s="5" t="n">
        <v>12721.8</v>
      </c>
      <c r="T4" s="5" t="n">
        <v>12680.4</v>
      </c>
      <c r="U4" s="5" t="n">
        <v>13479.9</v>
      </c>
      <c r="V4" s="5" t="n">
        <v>14229.4</v>
      </c>
      <c r="W4" s="5" t="n">
        <v>14991.8</v>
      </c>
      <c r="X4" s="5" t="n">
        <v>15127.3</v>
      </c>
      <c r="Y4" s="5" t="n">
        <v>14998.6</v>
      </c>
    </row>
    <row r="5">
      <c r="A5" s="4" t="inlineStr">
        <is>
          <t>Imaging Studies Performed</t>
        </is>
      </c>
      <c r="B5" s="5" t="n">
        <v>1502.8</v>
      </c>
      <c r="C5" s="5" t="n">
        <v>1578.4</v>
      </c>
      <c r="D5" s="5" t="n">
        <v>1635</v>
      </c>
      <c r="E5" s="5" t="n">
        <v>1776.8</v>
      </c>
      <c r="F5" s="5" t="n">
        <v>1846.9</v>
      </c>
      <c r="G5" s="5" t="n">
        <v>1773.5</v>
      </c>
      <c r="H5" s="5" t="n">
        <v>1880.1</v>
      </c>
      <c r="I5" s="5" t="n">
        <v>1872.7</v>
      </c>
      <c r="J5" s="5" t="n">
        <v>1946.8</v>
      </c>
      <c r="K5" s="5" t="n">
        <v>2084</v>
      </c>
      <c r="L5" s="5" t="n">
        <v>2043.8</v>
      </c>
      <c r="M5" s="5" t="n">
        <v>1998.5</v>
      </c>
      <c r="N5" s="5" t="n">
        <v>1950.5</v>
      </c>
      <c r="O5" s="5" t="n">
        <v>2001.4</v>
      </c>
      <c r="P5" s="5" t="n">
        <v>1990.4</v>
      </c>
      <c r="Q5" s="5" t="n">
        <v>2053.7</v>
      </c>
      <c r="R5" s="5" t="n">
        <v>2143.5</v>
      </c>
      <c r="S5" s="5" t="n">
        <v>2120</v>
      </c>
      <c r="T5" s="5" t="n">
        <v>2192.5</v>
      </c>
      <c r="U5" s="5" t="n">
        <v>2183.5</v>
      </c>
      <c r="V5" s="5" t="n">
        <v>2224.6</v>
      </c>
      <c r="W5" s="5" t="n">
        <v>2359.9</v>
      </c>
      <c r="X5" s="5" t="n">
        <v>2484.6</v>
      </c>
      <c r="Y5" s="5" t="n">
        <v>2442.9</v>
      </c>
    </row>
    <row r="6">
      <c r="A6" s="4" t="inlineStr">
        <is>
          <t>Pharmacy Prescriptions Filled</t>
        </is>
      </c>
      <c r="B6" s="5" t="n">
        <v>7554.8</v>
      </c>
      <c r="C6" s="5" t="n">
        <v>7456.3</v>
      </c>
      <c r="D6" s="5" t="n">
        <v>7069.2</v>
      </c>
      <c r="E6" s="5" t="n">
        <v>7481.1</v>
      </c>
      <c r="F6" s="5" t="n">
        <v>7759.7</v>
      </c>
      <c r="G6" s="5" t="n">
        <v>7649.5</v>
      </c>
      <c r="H6" s="5" t="n">
        <v>8040.5</v>
      </c>
      <c r="I6" s="5" t="n">
        <v>8239.4</v>
      </c>
      <c r="J6" s="5" t="n">
        <v>8311.799999999999</v>
      </c>
      <c r="K6" s="5" t="n">
        <v>7946.6</v>
      </c>
      <c r="L6" s="5" t="n">
        <v>7643.6</v>
      </c>
      <c r="M6" s="5" t="n">
        <v>8183.5</v>
      </c>
      <c r="N6" s="5" t="n">
        <v>8754.9</v>
      </c>
      <c r="O6" s="5" t="n">
        <v>8960.4</v>
      </c>
      <c r="P6" s="5" t="n">
        <v>9473</v>
      </c>
      <c r="Q6" s="5" t="n">
        <v>9730.1</v>
      </c>
      <c r="R6" s="5" t="n">
        <v>9535.799999999999</v>
      </c>
      <c r="S6" s="5" t="n">
        <v>9316.200000000001</v>
      </c>
      <c r="T6" s="5" t="n">
        <v>9282.6</v>
      </c>
      <c r="U6" s="5" t="n">
        <v>9868.6</v>
      </c>
      <c r="V6" s="5" t="n">
        <v>10357.2</v>
      </c>
      <c r="W6" s="5" t="n">
        <v>10922.3</v>
      </c>
      <c r="X6" s="5" t="n">
        <v>11537.8</v>
      </c>
      <c r="Y6" s="5" t="n">
        <v>11441.1</v>
      </c>
    </row>
    <row r="7">
      <c r="A7" s="4" t="inlineStr">
        <is>
          <t>Avg Lab TAT (hours)</t>
        </is>
      </c>
      <c r="B7" s="10" t="n">
        <v>1.9</v>
      </c>
      <c r="C7" s="10" t="n">
        <v>1.7</v>
      </c>
      <c r="D7" s="10" t="n">
        <v>2.7</v>
      </c>
      <c r="E7" s="10" t="n">
        <v>2.8</v>
      </c>
      <c r="F7" s="10" t="n">
        <v>2.1</v>
      </c>
      <c r="G7" s="10" t="n">
        <v>2.4</v>
      </c>
      <c r="H7" s="10" t="n">
        <v>1.7</v>
      </c>
      <c r="I7" s="10" t="n">
        <v>2.9</v>
      </c>
      <c r="J7" s="10" t="n">
        <v>2.8</v>
      </c>
      <c r="K7" s="10" t="n">
        <v>3</v>
      </c>
      <c r="L7" s="10" t="n">
        <v>2.7</v>
      </c>
      <c r="M7" s="10" t="n">
        <v>2.8</v>
      </c>
      <c r="N7" s="10" t="n">
        <v>1.5</v>
      </c>
      <c r="O7" s="10" t="n">
        <v>2.6</v>
      </c>
      <c r="P7" s="10" t="n">
        <v>2</v>
      </c>
      <c r="Q7" s="10" t="n">
        <v>2.9</v>
      </c>
      <c r="R7" s="10" t="n">
        <v>2.7</v>
      </c>
      <c r="S7" s="10" t="n">
        <v>2.8</v>
      </c>
      <c r="T7" s="10" t="n">
        <v>2.7</v>
      </c>
      <c r="U7" s="10" t="n">
        <v>1.9</v>
      </c>
      <c r="V7" s="10" t="n">
        <v>2.7</v>
      </c>
      <c r="W7" s="10" t="n">
        <v>1.7</v>
      </c>
      <c r="X7" s="10" t="n">
        <v>2.8</v>
      </c>
      <c r="Y7" s="10" t="n">
        <v>2.8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ANALYTICS — BED OCCUPANCY BY WARD</t>
        </is>
      </c>
    </row>
    <row r="2">
      <c r="A2" s="2" t="inlineStr">
        <is>
          <t>⚠ SYNTHETIC DATA — generated for this academic model to demonstrate the analytics layer. Not real patient or hospital data.</t>
        </is>
      </c>
    </row>
    <row r="3">
      <c r="B3" s="3" t="inlineStr">
        <is>
          <t>Apr-2025</t>
        </is>
      </c>
      <c r="C3" s="3" t="inlineStr">
        <is>
          <t>May-2025</t>
        </is>
      </c>
      <c r="D3" s="3" t="inlineStr">
        <is>
          <t>Jun-2025</t>
        </is>
      </c>
      <c r="E3" s="3" t="inlineStr">
        <is>
          <t>Jul-2025</t>
        </is>
      </c>
      <c r="F3" s="3" t="inlineStr">
        <is>
          <t>Aug-2025</t>
        </is>
      </c>
      <c r="G3" s="3" t="inlineStr">
        <is>
          <t>Sep-2025</t>
        </is>
      </c>
      <c r="H3" s="3" t="inlineStr">
        <is>
          <t>Oct-2025</t>
        </is>
      </c>
      <c r="I3" s="3" t="inlineStr">
        <is>
          <t>Nov-2025</t>
        </is>
      </c>
      <c r="J3" s="3" t="inlineStr">
        <is>
          <t>Dec-2025</t>
        </is>
      </c>
      <c r="K3" s="3" t="inlineStr">
        <is>
          <t>Jan-2026</t>
        </is>
      </c>
      <c r="L3" s="3" t="inlineStr">
        <is>
          <t>Feb-2026</t>
        </is>
      </c>
      <c r="M3" s="3" t="inlineStr">
        <is>
          <t>Mar-2026</t>
        </is>
      </c>
      <c r="N3" s="3" t="inlineStr">
        <is>
          <t>Apr-2026</t>
        </is>
      </c>
      <c r="O3" s="3" t="inlineStr">
        <is>
          <t>May-2026</t>
        </is>
      </c>
      <c r="P3" s="3" t="inlineStr">
        <is>
          <t>Jun-2026</t>
        </is>
      </c>
      <c r="Q3" s="3" t="inlineStr">
        <is>
          <t>Jul-2026</t>
        </is>
      </c>
      <c r="R3" s="3" t="inlineStr">
        <is>
          <t>Aug-2026</t>
        </is>
      </c>
      <c r="S3" s="3" t="inlineStr">
        <is>
          <t>Sep-2026</t>
        </is>
      </c>
      <c r="T3" s="3" t="inlineStr">
        <is>
          <t>Oct-2026</t>
        </is>
      </c>
      <c r="U3" s="3" t="inlineStr">
        <is>
          <t>Nov-2026</t>
        </is>
      </c>
      <c r="V3" s="3" t="inlineStr">
        <is>
          <t>Dec-2026</t>
        </is>
      </c>
      <c r="W3" s="3" t="inlineStr">
        <is>
          <t>Jan-2027</t>
        </is>
      </c>
      <c r="X3" s="3" t="inlineStr">
        <is>
          <t>Feb-2027</t>
        </is>
      </c>
      <c r="Y3" s="3" t="inlineStr">
        <is>
          <t>Mar-2027</t>
        </is>
      </c>
    </row>
    <row r="4">
      <c r="A4" s="4" t="inlineStr">
        <is>
          <t>General Ward Occupancy</t>
        </is>
      </c>
      <c r="B4" s="6" t="n">
        <v>0.333</v>
      </c>
      <c r="C4" s="6" t="n">
        <v>0.382</v>
      </c>
      <c r="D4" s="6" t="n">
        <v>0.374</v>
      </c>
      <c r="E4" s="6" t="n">
        <v>0.377</v>
      </c>
      <c r="F4" s="6" t="n">
        <v>0.42</v>
      </c>
      <c r="G4" s="6" t="n">
        <v>0.399</v>
      </c>
      <c r="H4" s="6" t="n">
        <v>0.399</v>
      </c>
      <c r="I4" s="6" t="n">
        <v>0.423</v>
      </c>
      <c r="J4" s="6" t="n">
        <v>0.444</v>
      </c>
      <c r="K4" s="6" t="n">
        <v>0.489</v>
      </c>
      <c r="L4" s="6" t="n">
        <v>0.508</v>
      </c>
      <c r="M4" s="6" t="n">
        <v>0.48</v>
      </c>
      <c r="N4" s="6" t="n">
        <v>0.514</v>
      </c>
      <c r="O4" s="6" t="n">
        <v>0.513</v>
      </c>
      <c r="P4" s="6" t="n">
        <v>0.5610000000000001</v>
      </c>
      <c r="Q4" s="6" t="n">
        <v>0.547</v>
      </c>
      <c r="R4" s="6" t="n">
        <v>0.584</v>
      </c>
      <c r="S4" s="6" t="n">
        <v>0.548</v>
      </c>
      <c r="T4" s="6" t="n">
        <v>0.612</v>
      </c>
      <c r="U4" s="6" t="n">
        <v>0.578</v>
      </c>
      <c r="V4" s="6" t="n">
        <v>0.638</v>
      </c>
      <c r="W4" s="6" t="n">
        <v>0.609</v>
      </c>
      <c r="X4" s="6" t="n">
        <v>0.613</v>
      </c>
      <c r="Y4" s="6" t="n">
        <v>0.645</v>
      </c>
    </row>
    <row r="5">
      <c r="A5" s="4" t="inlineStr">
        <is>
          <t>ICU/HDU Occupancy</t>
        </is>
      </c>
      <c r="B5" s="6" t="n">
        <v>0.418</v>
      </c>
      <c r="C5" s="6" t="n">
        <v>0.399</v>
      </c>
      <c r="D5" s="6" t="n">
        <v>0.436</v>
      </c>
      <c r="E5" s="6" t="n">
        <v>0.443</v>
      </c>
      <c r="F5" s="6" t="n">
        <v>0.447</v>
      </c>
      <c r="G5" s="6" t="n">
        <v>0.476</v>
      </c>
      <c r="H5" s="6" t="n">
        <v>0.464</v>
      </c>
      <c r="I5" s="6" t="n">
        <v>0.515</v>
      </c>
      <c r="J5" s="6" t="n">
        <v>0.472</v>
      </c>
      <c r="K5" s="6" t="n">
        <v>0.5600000000000001</v>
      </c>
      <c r="L5" s="6" t="n">
        <v>0.543</v>
      </c>
      <c r="M5" s="6" t="n">
        <v>0.572</v>
      </c>
      <c r="N5" s="6" t="n">
        <v>0.587</v>
      </c>
      <c r="O5" s="6" t="n">
        <v>0.596</v>
      </c>
      <c r="P5" s="6" t="n">
        <v>0.585</v>
      </c>
      <c r="Q5" s="6" t="n">
        <v>0.576</v>
      </c>
      <c r="R5" s="6" t="n">
        <v>0.637</v>
      </c>
      <c r="S5" s="6" t="n">
        <v>0.624</v>
      </c>
      <c r="T5" s="6" t="n">
        <v>0.637</v>
      </c>
      <c r="U5" s="6" t="n">
        <v>0.694</v>
      </c>
      <c r="V5" s="6" t="n">
        <v>0.698</v>
      </c>
      <c r="W5" s="6" t="n">
        <v>0.678</v>
      </c>
      <c r="X5" s="6" t="n">
        <v>0.6929999999999999</v>
      </c>
      <c r="Y5" s="6" t="n">
        <v>0.715</v>
      </c>
    </row>
    <row r="6">
      <c r="A6" s="4" t="inlineStr">
        <is>
          <t>Maternity Occupancy</t>
        </is>
      </c>
      <c r="B6" s="6" t="n">
        <v>0.374</v>
      </c>
      <c r="C6" s="6" t="n">
        <v>0.378</v>
      </c>
      <c r="D6" s="6" t="n">
        <v>0.378</v>
      </c>
      <c r="E6" s="6" t="n">
        <v>0.405</v>
      </c>
      <c r="F6" s="6" t="n">
        <v>0.446</v>
      </c>
      <c r="G6" s="6" t="n">
        <v>0.441</v>
      </c>
      <c r="H6" s="6" t="n">
        <v>0.464</v>
      </c>
      <c r="I6" s="6" t="n">
        <v>0.457</v>
      </c>
      <c r="J6" s="6" t="n">
        <v>0.448</v>
      </c>
      <c r="K6" s="6" t="n">
        <v>0.473</v>
      </c>
      <c r="L6" s="6" t="n">
        <v>0.45</v>
      </c>
      <c r="M6" s="6" t="n">
        <v>0.477</v>
      </c>
      <c r="N6" s="6" t="n">
        <v>0.496</v>
      </c>
      <c r="O6" s="6" t="n">
        <v>0.515</v>
      </c>
      <c r="P6" s="6" t="n">
        <v>0.529</v>
      </c>
      <c r="Q6" s="6" t="n">
        <v>0.528</v>
      </c>
      <c r="R6" s="6" t="n">
        <v>0.537</v>
      </c>
      <c r="S6" s="6" t="n">
        <v>0.533</v>
      </c>
      <c r="T6" s="6" t="n">
        <v>0.5580000000000001</v>
      </c>
      <c r="U6" s="6" t="n">
        <v>0.594</v>
      </c>
      <c r="V6" s="6" t="n">
        <v>0.598</v>
      </c>
      <c r="W6" s="6" t="n">
        <v>0.57</v>
      </c>
      <c r="X6" s="6" t="n">
        <v>0.575</v>
      </c>
      <c r="Y6" s="6" t="n">
        <v>0.611</v>
      </c>
    </row>
    <row r="7">
      <c r="A7" s="4" t="inlineStr">
        <is>
          <t>Blended Occupancy</t>
        </is>
      </c>
      <c r="B7" s="6" t="n">
        <v>0.375</v>
      </c>
      <c r="C7" s="6" t="n">
        <v>0.386</v>
      </c>
      <c r="D7" s="6" t="n">
        <v>0.396</v>
      </c>
      <c r="E7" s="6" t="n">
        <v>0.408</v>
      </c>
      <c r="F7" s="6" t="n">
        <v>0.438</v>
      </c>
      <c r="G7" s="6" t="n">
        <v>0.439</v>
      </c>
      <c r="H7" s="6" t="n">
        <v>0.442</v>
      </c>
      <c r="I7" s="6" t="n">
        <v>0.465</v>
      </c>
      <c r="J7" s="6" t="n">
        <v>0.455</v>
      </c>
      <c r="K7" s="6" t="n">
        <v>0.507</v>
      </c>
      <c r="L7" s="6" t="n">
        <v>0.5</v>
      </c>
      <c r="M7" s="6" t="n">
        <v>0.51</v>
      </c>
      <c r="N7" s="6" t="n">
        <v>0.532</v>
      </c>
      <c r="O7" s="6" t="n">
        <v>0.541</v>
      </c>
      <c r="P7" s="6" t="n">
        <v>0.5580000000000001</v>
      </c>
      <c r="Q7" s="6" t="n">
        <v>0.55</v>
      </c>
      <c r="R7" s="6" t="n">
        <v>0.586</v>
      </c>
      <c r="S7" s="6" t="n">
        <v>0.5679999999999999</v>
      </c>
      <c r="T7" s="6" t="n">
        <v>0.602</v>
      </c>
      <c r="U7" s="6" t="n">
        <v>0.622</v>
      </c>
      <c r="V7" s="6" t="n">
        <v>0.645</v>
      </c>
      <c r="W7" s="6" t="n">
        <v>0.619</v>
      </c>
      <c r="X7" s="6" t="n">
        <v>0.627</v>
      </c>
      <c r="Y7" s="6" t="n">
        <v>0.657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ANALYTICS — MONTHLY REVENUE BY STREAM</t>
        </is>
      </c>
    </row>
    <row r="2">
      <c r="A2" s="2" t="inlineStr">
        <is>
          <t>⚠ SYNTHETIC DATA — generated for this academic model to demonstrate the analytics layer. Not real patient or hospital data.</t>
        </is>
      </c>
    </row>
    <row r="3">
      <c r="B3" s="3" t="inlineStr">
        <is>
          <t>Apr-2025</t>
        </is>
      </c>
      <c r="C3" s="3" t="inlineStr">
        <is>
          <t>May-2025</t>
        </is>
      </c>
      <c r="D3" s="3" t="inlineStr">
        <is>
          <t>Jun-2025</t>
        </is>
      </c>
      <c r="E3" s="3" t="inlineStr">
        <is>
          <t>Jul-2025</t>
        </is>
      </c>
      <c r="F3" s="3" t="inlineStr">
        <is>
          <t>Aug-2025</t>
        </is>
      </c>
      <c r="G3" s="3" t="inlineStr">
        <is>
          <t>Sep-2025</t>
        </is>
      </c>
      <c r="H3" s="3" t="inlineStr">
        <is>
          <t>Oct-2025</t>
        </is>
      </c>
      <c r="I3" s="3" t="inlineStr">
        <is>
          <t>Nov-2025</t>
        </is>
      </c>
      <c r="J3" s="3" t="inlineStr">
        <is>
          <t>Dec-2025</t>
        </is>
      </c>
      <c r="K3" s="3" t="inlineStr">
        <is>
          <t>Jan-2026</t>
        </is>
      </c>
      <c r="L3" s="3" t="inlineStr">
        <is>
          <t>Feb-2026</t>
        </is>
      </c>
      <c r="M3" s="3" t="inlineStr">
        <is>
          <t>Mar-2026</t>
        </is>
      </c>
      <c r="N3" s="3" t="inlineStr">
        <is>
          <t>Apr-2026</t>
        </is>
      </c>
      <c r="O3" s="3" t="inlineStr">
        <is>
          <t>May-2026</t>
        </is>
      </c>
      <c r="P3" s="3" t="inlineStr">
        <is>
          <t>Jun-2026</t>
        </is>
      </c>
      <c r="Q3" s="3" t="inlineStr">
        <is>
          <t>Jul-2026</t>
        </is>
      </c>
      <c r="R3" s="3" t="inlineStr">
        <is>
          <t>Aug-2026</t>
        </is>
      </c>
      <c r="S3" s="3" t="inlineStr">
        <is>
          <t>Sep-2026</t>
        </is>
      </c>
      <c r="T3" s="3" t="inlineStr">
        <is>
          <t>Oct-2026</t>
        </is>
      </c>
      <c r="U3" s="3" t="inlineStr">
        <is>
          <t>Nov-2026</t>
        </is>
      </c>
      <c r="V3" s="3" t="inlineStr">
        <is>
          <t>Dec-2026</t>
        </is>
      </c>
      <c r="W3" s="3" t="inlineStr">
        <is>
          <t>Jan-2027</t>
        </is>
      </c>
      <c r="X3" s="3" t="inlineStr">
        <is>
          <t>Feb-2027</t>
        </is>
      </c>
      <c r="Y3" s="3" t="inlineStr">
        <is>
          <t>Mar-2027</t>
        </is>
      </c>
    </row>
    <row r="4">
      <c r="A4" s="4" t="inlineStr">
        <is>
          <t>IPD Revenue (₹ Lakh)</t>
        </is>
      </c>
      <c r="B4" s="10" t="n">
        <v>98.90000000000001</v>
      </c>
      <c r="C4" s="10" t="n">
        <v>98.8</v>
      </c>
      <c r="D4" s="10" t="n">
        <v>105.3</v>
      </c>
      <c r="E4" s="10" t="n">
        <v>110.9</v>
      </c>
      <c r="F4" s="10" t="n">
        <v>115.6</v>
      </c>
      <c r="G4" s="10" t="n">
        <v>114.5</v>
      </c>
      <c r="H4" s="10" t="n">
        <v>113</v>
      </c>
      <c r="I4" s="10" t="n">
        <v>109.2</v>
      </c>
      <c r="J4" s="10" t="n">
        <v>108.2</v>
      </c>
      <c r="K4" s="10" t="n">
        <v>110.3</v>
      </c>
      <c r="L4" s="10" t="n">
        <v>117.3</v>
      </c>
      <c r="M4" s="10" t="n">
        <v>114.2</v>
      </c>
      <c r="N4" s="10" t="n">
        <v>115.6</v>
      </c>
      <c r="O4" s="10" t="n">
        <v>119.9</v>
      </c>
      <c r="P4" s="10" t="n">
        <v>118.5</v>
      </c>
      <c r="Q4" s="10" t="n">
        <v>123.7</v>
      </c>
      <c r="R4" s="10" t="n">
        <v>126.3</v>
      </c>
      <c r="S4" s="10" t="n">
        <v>125.7</v>
      </c>
      <c r="T4" s="10" t="n">
        <v>130.5</v>
      </c>
      <c r="U4" s="10" t="n">
        <v>126.8</v>
      </c>
      <c r="V4" s="10" t="n">
        <v>133</v>
      </c>
      <c r="W4" s="10" t="n">
        <v>139.5</v>
      </c>
      <c r="X4" s="10" t="n">
        <v>137.3</v>
      </c>
      <c r="Y4" s="10" t="n">
        <v>139.3</v>
      </c>
    </row>
    <row r="5">
      <c r="A5" s="4" t="inlineStr">
        <is>
          <t>OPD Revenue (₹ Lakh)</t>
        </is>
      </c>
      <c r="B5" s="10" t="n">
        <v>21.3</v>
      </c>
      <c r="C5" s="10" t="n">
        <v>23.2</v>
      </c>
      <c r="D5" s="10" t="n">
        <v>23.7</v>
      </c>
      <c r="E5" s="10" t="n">
        <v>22.6</v>
      </c>
      <c r="F5" s="10" t="n">
        <v>22.1</v>
      </c>
      <c r="G5" s="10" t="n">
        <v>23.7</v>
      </c>
      <c r="H5" s="10" t="n">
        <v>24</v>
      </c>
      <c r="I5" s="10" t="n">
        <v>25.5</v>
      </c>
      <c r="J5" s="10" t="n">
        <v>26.5</v>
      </c>
      <c r="K5" s="10" t="n">
        <v>28.7</v>
      </c>
      <c r="L5" s="10" t="n">
        <v>29.6</v>
      </c>
      <c r="M5" s="10" t="n">
        <v>31.7</v>
      </c>
      <c r="N5" s="10" t="n">
        <v>33.7</v>
      </c>
      <c r="O5" s="10" t="n">
        <v>34.7</v>
      </c>
      <c r="P5" s="10" t="n">
        <v>36</v>
      </c>
      <c r="Q5" s="10" t="n">
        <v>36.7</v>
      </c>
      <c r="R5" s="10" t="n">
        <v>38.5</v>
      </c>
      <c r="S5" s="10" t="n">
        <v>39.4</v>
      </c>
      <c r="T5" s="10" t="n">
        <v>41.5</v>
      </c>
      <c r="U5" s="10" t="n">
        <v>43.1</v>
      </c>
      <c r="V5" s="10" t="n">
        <v>43.8</v>
      </c>
      <c r="W5" s="10" t="n">
        <v>43.7</v>
      </c>
      <c r="X5" s="10" t="n">
        <v>43.6</v>
      </c>
      <c r="Y5" s="10" t="n">
        <v>44.9</v>
      </c>
    </row>
    <row r="6">
      <c r="A6" s="4" t="inlineStr">
        <is>
          <t>Diagnostics Revenue (₹ Lakh)</t>
        </is>
      </c>
      <c r="B6" s="10" t="n">
        <v>19.1</v>
      </c>
      <c r="C6" s="10" t="n">
        <v>19.5</v>
      </c>
      <c r="D6" s="10" t="n">
        <v>20.2</v>
      </c>
      <c r="E6" s="10" t="n">
        <v>19.9</v>
      </c>
      <c r="F6" s="10" t="n">
        <v>19.1</v>
      </c>
      <c r="G6" s="10" t="n">
        <v>18.8</v>
      </c>
      <c r="H6" s="10" t="n">
        <v>18.5</v>
      </c>
      <c r="I6" s="10" t="n">
        <v>18.3</v>
      </c>
      <c r="J6" s="10" t="n">
        <v>18.7</v>
      </c>
      <c r="K6" s="10" t="n">
        <v>18</v>
      </c>
      <c r="L6" s="10" t="n">
        <v>17.6</v>
      </c>
      <c r="M6" s="10" t="n">
        <v>18.5</v>
      </c>
      <c r="N6" s="10" t="n">
        <v>19.4</v>
      </c>
      <c r="O6" s="10" t="n">
        <v>18.5</v>
      </c>
      <c r="P6" s="10" t="n">
        <v>18.5</v>
      </c>
      <c r="Q6" s="10" t="n">
        <v>19</v>
      </c>
      <c r="R6" s="10" t="n">
        <v>19.1</v>
      </c>
      <c r="S6" s="10" t="n">
        <v>18.6</v>
      </c>
      <c r="T6" s="10" t="n">
        <v>18.7</v>
      </c>
      <c r="U6" s="10" t="n">
        <v>20.2</v>
      </c>
      <c r="V6" s="10" t="n">
        <v>20.8</v>
      </c>
      <c r="W6" s="10" t="n">
        <v>21.7</v>
      </c>
      <c r="X6" s="10" t="n">
        <v>23.2</v>
      </c>
      <c r="Y6" s="10" t="n">
        <v>24.3</v>
      </c>
    </row>
    <row r="7">
      <c r="A7" s="4" t="inlineStr">
        <is>
          <t>Pharmacy Revenue (₹ Lakh)</t>
        </is>
      </c>
      <c r="B7" s="10" t="n">
        <v>13</v>
      </c>
      <c r="C7" s="10" t="n">
        <v>12.3</v>
      </c>
      <c r="D7" s="10" t="n">
        <v>12.2</v>
      </c>
      <c r="E7" s="10" t="n">
        <v>12.9</v>
      </c>
      <c r="F7" s="10" t="n">
        <v>13.7</v>
      </c>
      <c r="G7" s="10" t="n">
        <v>14.8</v>
      </c>
      <c r="H7" s="10" t="n">
        <v>14.9</v>
      </c>
      <c r="I7" s="10" t="n">
        <v>15.6</v>
      </c>
      <c r="J7" s="10" t="n">
        <v>15.9</v>
      </c>
      <c r="K7" s="10" t="n">
        <v>16.3</v>
      </c>
      <c r="L7" s="10" t="n">
        <v>16.1</v>
      </c>
      <c r="M7" s="10" t="n">
        <v>15.8</v>
      </c>
      <c r="N7" s="10" t="n">
        <v>16</v>
      </c>
      <c r="O7" s="10" t="n">
        <v>15.4</v>
      </c>
      <c r="P7" s="10" t="n">
        <v>15.3</v>
      </c>
      <c r="Q7" s="10" t="n">
        <v>15.9</v>
      </c>
      <c r="R7" s="10" t="n">
        <v>16</v>
      </c>
      <c r="S7" s="10" t="n">
        <v>15.6</v>
      </c>
      <c r="T7" s="10" t="n">
        <v>15.8</v>
      </c>
      <c r="U7" s="10" t="n">
        <v>15.4</v>
      </c>
      <c r="V7" s="10" t="n">
        <v>15.8</v>
      </c>
      <c r="W7" s="10" t="n">
        <v>15.2</v>
      </c>
      <c r="X7" s="10" t="n">
        <v>15.3</v>
      </c>
      <c r="Y7" s="10" t="n">
        <v>15.6</v>
      </c>
    </row>
    <row r="8">
      <c r="A8" s="7" t="inlineStr">
        <is>
          <t>Total Monthly Revenue (₹ Lakh)</t>
        </is>
      </c>
      <c r="B8" s="11">
        <f>SUM(B4:B7)</f>
        <v/>
      </c>
      <c r="C8" s="11">
        <f>SUM(C4:C7)</f>
        <v/>
      </c>
      <c r="D8" s="11">
        <f>SUM(D4:D7)</f>
        <v/>
      </c>
      <c r="E8" s="11">
        <f>SUM(E4:E7)</f>
        <v/>
      </c>
      <c r="F8" s="11">
        <f>SUM(F4:F7)</f>
        <v/>
      </c>
      <c r="G8" s="11">
        <f>SUM(G4:G7)</f>
        <v/>
      </c>
      <c r="H8" s="11">
        <f>SUM(H4:H7)</f>
        <v/>
      </c>
      <c r="I8" s="11">
        <f>SUM(I4:I7)</f>
        <v/>
      </c>
      <c r="J8" s="11">
        <f>SUM(J4:J7)</f>
        <v/>
      </c>
      <c r="K8" s="11">
        <f>SUM(K4:K7)</f>
        <v/>
      </c>
      <c r="L8" s="11">
        <f>SUM(L4:L7)</f>
        <v/>
      </c>
      <c r="M8" s="11">
        <f>SUM(M4:M7)</f>
        <v/>
      </c>
      <c r="N8" s="11">
        <f>SUM(N4:N7)</f>
        <v/>
      </c>
      <c r="O8" s="11">
        <f>SUM(O4:O7)</f>
        <v/>
      </c>
      <c r="P8" s="11">
        <f>SUM(P4:P7)</f>
        <v/>
      </c>
      <c r="Q8" s="11">
        <f>SUM(Q4:Q7)</f>
        <v/>
      </c>
      <c r="R8" s="11">
        <f>SUM(R4:R7)</f>
        <v/>
      </c>
      <c r="S8" s="11">
        <f>SUM(S4:S7)</f>
        <v/>
      </c>
      <c r="T8" s="11">
        <f>SUM(T4:T7)</f>
        <v/>
      </c>
      <c r="U8" s="11">
        <f>SUM(U4:U7)</f>
        <v/>
      </c>
      <c r="V8" s="11">
        <f>SUM(V4:V7)</f>
        <v/>
      </c>
      <c r="W8" s="11">
        <f>SUM(W4:W7)</f>
        <v/>
      </c>
      <c r="X8" s="11">
        <f>SUM(X4:X7)</f>
        <v/>
      </c>
      <c r="Y8" s="11">
        <f>SUM(Y4:Y7)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ANALYTICS — QUALITY &amp; SAFETY INDICATORS</t>
        </is>
      </c>
    </row>
    <row r="2">
      <c r="A2" s="2" t="inlineStr">
        <is>
          <t>⚠ SYNTHETIC DATA — generated for this academic model to demonstrate the analytics layer. Not real patient or hospital data.</t>
        </is>
      </c>
    </row>
    <row r="3">
      <c r="B3" s="3" t="inlineStr">
        <is>
          <t>Apr-2025</t>
        </is>
      </c>
      <c r="C3" s="3" t="inlineStr">
        <is>
          <t>May-2025</t>
        </is>
      </c>
      <c r="D3" s="3" t="inlineStr">
        <is>
          <t>Jun-2025</t>
        </is>
      </c>
      <c r="E3" s="3" t="inlineStr">
        <is>
          <t>Jul-2025</t>
        </is>
      </c>
      <c r="F3" s="3" t="inlineStr">
        <is>
          <t>Aug-2025</t>
        </is>
      </c>
      <c r="G3" s="3" t="inlineStr">
        <is>
          <t>Sep-2025</t>
        </is>
      </c>
      <c r="H3" s="3" t="inlineStr">
        <is>
          <t>Oct-2025</t>
        </is>
      </c>
      <c r="I3" s="3" t="inlineStr">
        <is>
          <t>Nov-2025</t>
        </is>
      </c>
      <c r="J3" s="3" t="inlineStr">
        <is>
          <t>Dec-2025</t>
        </is>
      </c>
      <c r="K3" s="3" t="inlineStr">
        <is>
          <t>Jan-2026</t>
        </is>
      </c>
      <c r="L3" s="3" t="inlineStr">
        <is>
          <t>Feb-2026</t>
        </is>
      </c>
      <c r="M3" s="3" t="inlineStr">
        <is>
          <t>Mar-2026</t>
        </is>
      </c>
      <c r="N3" s="3" t="inlineStr">
        <is>
          <t>Apr-2026</t>
        </is>
      </c>
      <c r="O3" s="3" t="inlineStr">
        <is>
          <t>May-2026</t>
        </is>
      </c>
      <c r="P3" s="3" t="inlineStr">
        <is>
          <t>Jun-2026</t>
        </is>
      </c>
      <c r="Q3" s="3" t="inlineStr">
        <is>
          <t>Jul-2026</t>
        </is>
      </c>
      <c r="R3" s="3" t="inlineStr">
        <is>
          <t>Aug-2026</t>
        </is>
      </c>
      <c r="S3" s="3" t="inlineStr">
        <is>
          <t>Sep-2026</t>
        </is>
      </c>
      <c r="T3" s="3" t="inlineStr">
        <is>
          <t>Oct-2026</t>
        </is>
      </c>
      <c r="U3" s="3" t="inlineStr">
        <is>
          <t>Nov-2026</t>
        </is>
      </c>
      <c r="V3" s="3" t="inlineStr">
        <is>
          <t>Dec-2026</t>
        </is>
      </c>
      <c r="W3" s="3" t="inlineStr">
        <is>
          <t>Jan-2027</t>
        </is>
      </c>
      <c r="X3" s="3" t="inlineStr">
        <is>
          <t>Feb-2027</t>
        </is>
      </c>
      <c r="Y3" s="3" t="inlineStr">
        <is>
          <t>Mar-2027</t>
        </is>
      </c>
    </row>
    <row r="4">
      <c r="A4" s="4" t="inlineStr">
        <is>
          <t>Hospital-Acquired Infection Rate (per 1,000 patient-days)</t>
        </is>
      </c>
      <c r="B4" s="10" t="n">
        <v>0.44</v>
      </c>
      <c r="C4" s="10" t="n">
        <v>1.3</v>
      </c>
      <c r="D4" s="10" t="n">
        <v>0.59</v>
      </c>
      <c r="E4" s="10" t="n">
        <v>1.05</v>
      </c>
      <c r="F4" s="10" t="n">
        <v>0.47</v>
      </c>
      <c r="G4" s="10" t="n">
        <v>0.93</v>
      </c>
      <c r="H4" s="10" t="n">
        <v>0.7</v>
      </c>
      <c r="I4" s="10" t="n">
        <v>0.86</v>
      </c>
      <c r="J4" s="10" t="n">
        <v>1.47</v>
      </c>
      <c r="K4" s="10" t="n">
        <v>0.93</v>
      </c>
      <c r="L4" s="10" t="n">
        <v>1.45</v>
      </c>
      <c r="M4" s="10" t="n">
        <v>1.56</v>
      </c>
      <c r="N4" s="10" t="n">
        <v>0.75</v>
      </c>
      <c r="O4" s="10" t="n">
        <v>0.51</v>
      </c>
      <c r="P4" s="10" t="n">
        <v>0.43</v>
      </c>
      <c r="Q4" s="10" t="n">
        <v>1.16</v>
      </c>
      <c r="R4" s="10" t="n">
        <v>1.8</v>
      </c>
      <c r="S4" s="10" t="n">
        <v>0.89</v>
      </c>
      <c r="T4" s="10" t="n">
        <v>1.31</v>
      </c>
      <c r="U4" s="10" t="n">
        <v>1.49</v>
      </c>
      <c r="V4" s="10" t="n">
        <v>1.31</v>
      </c>
      <c r="W4" s="10" t="n">
        <v>1.46</v>
      </c>
      <c r="X4" s="10" t="n">
        <v>1.73</v>
      </c>
      <c r="Y4" s="10" t="n">
        <v>0.68</v>
      </c>
    </row>
    <row r="5">
      <c r="A5" s="4" t="inlineStr">
        <is>
          <t>Patient Fall Rate (per 1,000 patient-days)</t>
        </is>
      </c>
      <c r="B5" s="10" t="n">
        <v>0.11</v>
      </c>
      <c r="C5" s="10" t="n">
        <v>0.18</v>
      </c>
      <c r="D5" s="10" t="n">
        <v>0.16</v>
      </c>
      <c r="E5" s="10" t="n">
        <v>0.43</v>
      </c>
      <c r="F5" s="10" t="n">
        <v>0.38</v>
      </c>
      <c r="G5" s="10" t="n">
        <v>0.21</v>
      </c>
      <c r="H5" s="10" t="n">
        <v>0.45</v>
      </c>
      <c r="I5" s="10" t="n">
        <v>0.48</v>
      </c>
      <c r="J5" s="10" t="n">
        <v>0.18</v>
      </c>
      <c r="K5" s="10" t="n">
        <v>0.4</v>
      </c>
      <c r="L5" s="10" t="n">
        <v>0.47</v>
      </c>
      <c r="M5" s="10" t="n">
        <v>0.16</v>
      </c>
      <c r="N5" s="10" t="n">
        <v>0.51</v>
      </c>
      <c r="O5" s="10" t="n">
        <v>0.58</v>
      </c>
      <c r="P5" s="10" t="n">
        <v>0.15</v>
      </c>
      <c r="Q5" s="10" t="n">
        <v>0.11</v>
      </c>
      <c r="R5" s="10" t="n">
        <v>0.26</v>
      </c>
      <c r="S5" s="10" t="n">
        <v>0.44</v>
      </c>
      <c r="T5" s="10" t="n">
        <v>0.58</v>
      </c>
      <c r="U5" s="10" t="n">
        <v>0.3</v>
      </c>
      <c r="V5" s="10" t="n">
        <v>0.46</v>
      </c>
      <c r="W5" s="10" t="n">
        <v>0.14</v>
      </c>
      <c r="X5" s="10" t="n">
        <v>0.45</v>
      </c>
      <c r="Y5" s="10" t="n">
        <v>0.41</v>
      </c>
    </row>
    <row r="6">
      <c r="A6" s="4" t="inlineStr">
        <is>
          <t>Medication Error Rate (per 1,000 doses)</t>
        </is>
      </c>
      <c r="B6" s="10" t="n">
        <v>0.08</v>
      </c>
      <c r="C6" s="10" t="n">
        <v>0.28</v>
      </c>
      <c r="D6" s="10" t="n">
        <v>0.31</v>
      </c>
      <c r="E6" s="10" t="n">
        <v>0.23</v>
      </c>
      <c r="F6" s="10" t="n">
        <v>0.09</v>
      </c>
      <c r="G6" s="10" t="n">
        <v>0.35</v>
      </c>
      <c r="H6" s="10" t="n">
        <v>0.28</v>
      </c>
      <c r="I6" s="10" t="n">
        <v>0.15</v>
      </c>
      <c r="J6" s="10" t="n">
        <v>0.18</v>
      </c>
      <c r="K6" s="10" t="n">
        <v>0.16</v>
      </c>
      <c r="L6" s="10" t="n">
        <v>0.2</v>
      </c>
      <c r="M6" s="10" t="n">
        <v>0.15</v>
      </c>
      <c r="N6" s="10" t="n">
        <v>0.3</v>
      </c>
      <c r="O6" s="10" t="n">
        <v>0.3</v>
      </c>
      <c r="P6" s="10" t="n">
        <v>0.08</v>
      </c>
      <c r="Q6" s="10" t="n">
        <v>0.34</v>
      </c>
      <c r="R6" s="10" t="n">
        <v>0.24</v>
      </c>
      <c r="S6" s="10" t="n">
        <v>0.3</v>
      </c>
      <c r="T6" s="10" t="n">
        <v>0.26</v>
      </c>
      <c r="U6" s="10" t="n">
        <v>0.18</v>
      </c>
      <c r="V6" s="10" t="n">
        <v>0.27</v>
      </c>
      <c r="W6" s="10" t="n">
        <v>0.34</v>
      </c>
      <c r="X6" s="10" t="n">
        <v>0.13</v>
      </c>
      <c r="Y6" s="10" t="n">
        <v>0.29</v>
      </c>
    </row>
    <row r="7">
      <c r="A7" s="4" t="inlineStr">
        <is>
          <t>Patient Satisfaction Score (CSAT, %)</t>
        </is>
      </c>
      <c r="B7" s="10" t="n">
        <v>78.2</v>
      </c>
      <c r="C7" s="10" t="n">
        <v>78.3</v>
      </c>
      <c r="D7" s="10" t="n">
        <v>78.40000000000001</v>
      </c>
      <c r="E7" s="10" t="n">
        <v>80</v>
      </c>
      <c r="F7" s="10" t="n">
        <v>78.5</v>
      </c>
      <c r="G7" s="10" t="n">
        <v>81.2</v>
      </c>
      <c r="H7" s="10" t="n">
        <v>81.40000000000001</v>
      </c>
      <c r="I7" s="10" t="n">
        <v>78.8</v>
      </c>
      <c r="J7" s="10" t="n">
        <v>82.3</v>
      </c>
      <c r="K7" s="10" t="n">
        <v>80.09999999999999</v>
      </c>
      <c r="L7" s="10" t="n">
        <v>81.40000000000001</v>
      </c>
      <c r="M7" s="10" t="n">
        <v>82.3</v>
      </c>
      <c r="N7" s="10" t="n">
        <v>81.7</v>
      </c>
      <c r="O7" s="10" t="n">
        <v>80.7</v>
      </c>
      <c r="P7" s="10" t="n">
        <v>84.3</v>
      </c>
      <c r="Q7" s="10" t="n">
        <v>82</v>
      </c>
      <c r="R7" s="10" t="n">
        <v>82.40000000000001</v>
      </c>
      <c r="S7" s="10" t="n">
        <v>85.09999999999999</v>
      </c>
      <c r="T7" s="10" t="n">
        <v>83.7</v>
      </c>
      <c r="U7" s="10" t="n">
        <v>86.2</v>
      </c>
      <c r="V7" s="10" t="n">
        <v>85.8</v>
      </c>
      <c r="W7" s="10" t="n">
        <v>84.5</v>
      </c>
      <c r="X7" s="10" t="n">
        <v>83.7</v>
      </c>
      <c r="Y7" s="10" t="n">
        <v>87.8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ANALYTICS — HR &amp; WORKFORCE INDICATORS</t>
        </is>
      </c>
    </row>
    <row r="2">
      <c r="A2" s="2" t="inlineStr">
        <is>
          <t>⚠ SYNTHETIC DATA — generated for this academic model to demonstrate the analytics layer. Not real patient or hospital data.</t>
        </is>
      </c>
    </row>
    <row r="3">
      <c r="B3" s="3" t="inlineStr">
        <is>
          <t>Apr-2025</t>
        </is>
      </c>
      <c r="C3" s="3" t="inlineStr">
        <is>
          <t>May-2025</t>
        </is>
      </c>
      <c r="D3" s="3" t="inlineStr">
        <is>
          <t>Jun-2025</t>
        </is>
      </c>
      <c r="E3" s="3" t="inlineStr">
        <is>
          <t>Jul-2025</t>
        </is>
      </c>
      <c r="F3" s="3" t="inlineStr">
        <is>
          <t>Aug-2025</t>
        </is>
      </c>
      <c r="G3" s="3" t="inlineStr">
        <is>
          <t>Sep-2025</t>
        </is>
      </c>
      <c r="H3" s="3" t="inlineStr">
        <is>
          <t>Oct-2025</t>
        </is>
      </c>
      <c r="I3" s="3" t="inlineStr">
        <is>
          <t>Nov-2025</t>
        </is>
      </c>
      <c r="J3" s="3" t="inlineStr">
        <is>
          <t>Dec-2025</t>
        </is>
      </c>
      <c r="K3" s="3" t="inlineStr">
        <is>
          <t>Jan-2026</t>
        </is>
      </c>
      <c r="L3" s="3" t="inlineStr">
        <is>
          <t>Feb-2026</t>
        </is>
      </c>
      <c r="M3" s="3" t="inlineStr">
        <is>
          <t>Mar-2026</t>
        </is>
      </c>
      <c r="N3" s="3" t="inlineStr">
        <is>
          <t>Apr-2026</t>
        </is>
      </c>
      <c r="O3" s="3" t="inlineStr">
        <is>
          <t>May-2026</t>
        </is>
      </c>
      <c r="P3" s="3" t="inlineStr">
        <is>
          <t>Jun-2026</t>
        </is>
      </c>
      <c r="Q3" s="3" t="inlineStr">
        <is>
          <t>Jul-2026</t>
        </is>
      </c>
      <c r="R3" s="3" t="inlineStr">
        <is>
          <t>Aug-2026</t>
        </is>
      </c>
      <c r="S3" s="3" t="inlineStr">
        <is>
          <t>Sep-2026</t>
        </is>
      </c>
      <c r="T3" s="3" t="inlineStr">
        <is>
          <t>Oct-2026</t>
        </is>
      </c>
      <c r="U3" s="3" t="inlineStr">
        <is>
          <t>Nov-2026</t>
        </is>
      </c>
      <c r="V3" s="3" t="inlineStr">
        <is>
          <t>Dec-2026</t>
        </is>
      </c>
      <c r="W3" s="3" t="inlineStr">
        <is>
          <t>Jan-2027</t>
        </is>
      </c>
      <c r="X3" s="3" t="inlineStr">
        <is>
          <t>Feb-2027</t>
        </is>
      </c>
      <c r="Y3" s="3" t="inlineStr">
        <is>
          <t>Mar-2027</t>
        </is>
      </c>
    </row>
    <row r="4">
      <c r="A4" s="4" t="inlineStr">
        <is>
          <t>Total Headcount</t>
        </is>
      </c>
      <c r="B4" s="5" t="n">
        <v>128</v>
      </c>
      <c r="C4" s="5" t="n">
        <v>135</v>
      </c>
      <c r="D4" s="5" t="n">
        <v>137</v>
      </c>
      <c r="E4" s="5" t="n">
        <v>142</v>
      </c>
      <c r="F4" s="5" t="n">
        <v>146</v>
      </c>
      <c r="G4" s="5" t="n">
        <v>149</v>
      </c>
      <c r="H4" s="5" t="n">
        <v>152</v>
      </c>
      <c r="I4" s="5" t="n">
        <v>157</v>
      </c>
      <c r="J4" s="5" t="n">
        <v>156</v>
      </c>
      <c r="K4" s="5" t="n">
        <v>161</v>
      </c>
      <c r="L4" s="5" t="n">
        <v>167</v>
      </c>
      <c r="M4" s="5" t="n">
        <v>168</v>
      </c>
      <c r="N4" s="5" t="n">
        <v>174</v>
      </c>
      <c r="O4" s="5" t="n">
        <v>177</v>
      </c>
      <c r="P4" s="5" t="n">
        <v>181</v>
      </c>
      <c r="Q4" s="5" t="n">
        <v>184</v>
      </c>
      <c r="R4" s="5" t="n">
        <v>189</v>
      </c>
      <c r="S4" s="5" t="n">
        <v>190</v>
      </c>
      <c r="T4" s="5" t="n">
        <v>196</v>
      </c>
      <c r="U4" s="5" t="n">
        <v>197</v>
      </c>
      <c r="V4" s="5" t="n">
        <v>201</v>
      </c>
      <c r="W4" s="5" t="n">
        <v>203</v>
      </c>
      <c r="X4" s="5" t="n">
        <v>207</v>
      </c>
      <c r="Y4" s="5" t="n">
        <v>211</v>
      </c>
    </row>
    <row r="5">
      <c r="A5" s="4" t="inlineStr">
        <is>
          <t>Monthly Attrition Rate</t>
        </is>
      </c>
      <c r="B5" s="6" t="n">
        <v>0.114</v>
      </c>
      <c r="C5" s="6" t="n">
        <v>0.136</v>
      </c>
      <c r="D5" s="6" t="n">
        <v>0.079</v>
      </c>
      <c r="E5" s="6" t="n">
        <v>0.082</v>
      </c>
      <c r="F5" s="6" t="n">
        <v>0.108</v>
      </c>
      <c r="G5" s="6" t="n">
        <v>0.132</v>
      </c>
      <c r="H5" s="6" t="n">
        <v>0.158</v>
      </c>
      <c r="I5" s="6" t="n">
        <v>0.112</v>
      </c>
      <c r="J5" s="6" t="n">
        <v>0.08799999999999999</v>
      </c>
      <c r="K5" s="6" t="n">
        <v>0.07000000000000001</v>
      </c>
      <c r="L5" s="6" t="n">
        <v>0.079</v>
      </c>
      <c r="M5" s="6" t="n">
        <v>0.083</v>
      </c>
      <c r="N5" s="6" t="n">
        <v>0.078</v>
      </c>
      <c r="O5" s="6" t="n">
        <v>0.061</v>
      </c>
      <c r="P5" s="6" t="n">
        <v>0.113</v>
      </c>
      <c r="Q5" s="6" t="n">
        <v>0.08699999999999999</v>
      </c>
      <c r="R5" s="6" t="n">
        <v>0.157</v>
      </c>
      <c r="S5" s="6" t="n">
        <v>0.115</v>
      </c>
      <c r="T5" s="6" t="n">
        <v>0.13</v>
      </c>
      <c r="U5" s="6" t="n">
        <v>0.073</v>
      </c>
      <c r="V5" s="6" t="n">
        <v>0.147</v>
      </c>
      <c r="W5" s="6" t="n">
        <v>0.109</v>
      </c>
      <c r="X5" s="6" t="n">
        <v>0.147</v>
      </c>
      <c r="Y5" s="6" t="n">
        <v>0.117</v>
      </c>
    </row>
    <row r="6">
      <c r="A6" s="4" t="inlineStr">
        <is>
          <t>Vacancy Rate</t>
        </is>
      </c>
      <c r="B6" s="6" t="n">
        <v>0.08699999999999999</v>
      </c>
      <c r="C6" s="6" t="n">
        <v>0.08400000000000001</v>
      </c>
      <c r="D6" s="6" t="n">
        <v>0.058</v>
      </c>
      <c r="E6" s="6" t="n">
        <v>0.045</v>
      </c>
      <c r="F6" s="6" t="n">
        <v>0.134</v>
      </c>
      <c r="G6" s="6" t="n">
        <v>0.08799999999999999</v>
      </c>
      <c r="H6" s="6" t="n">
        <v>0.122</v>
      </c>
      <c r="I6" s="6" t="n">
        <v>0.08</v>
      </c>
      <c r="J6" s="6" t="n">
        <v>0.047</v>
      </c>
      <c r="K6" s="6" t="n">
        <v>0.103</v>
      </c>
      <c r="L6" s="6" t="n">
        <v>0.045</v>
      </c>
      <c r="M6" s="6" t="n">
        <v>0.055</v>
      </c>
      <c r="N6" s="6" t="n">
        <v>0.096</v>
      </c>
      <c r="O6" s="6" t="n">
        <v>0.07000000000000001</v>
      </c>
      <c r="P6" s="6" t="n">
        <v>0.139</v>
      </c>
      <c r="Q6" s="6" t="n">
        <v>0.052</v>
      </c>
      <c r="R6" s="6" t="n">
        <v>0.116</v>
      </c>
      <c r="S6" s="6" t="n">
        <v>0.101</v>
      </c>
      <c r="T6" s="6" t="n">
        <v>0.119</v>
      </c>
      <c r="U6" s="6" t="n">
        <v>0.063</v>
      </c>
      <c r="V6" s="6" t="n">
        <v>0.092</v>
      </c>
      <c r="W6" s="6" t="n">
        <v>0.08500000000000001</v>
      </c>
      <c r="X6" s="6" t="n">
        <v>0.08400000000000001</v>
      </c>
      <c r="Y6" s="6" t="n">
        <v>0.126</v>
      </c>
    </row>
    <row r="7">
      <c r="A7" s="4" t="inlineStr">
        <is>
          <t>Avg Training Hours/Employee</t>
        </is>
      </c>
      <c r="B7" s="10" t="n">
        <v>8.9</v>
      </c>
      <c r="C7" s="10" t="n">
        <v>4.8</v>
      </c>
      <c r="D7" s="10" t="n">
        <v>6.7</v>
      </c>
      <c r="E7" s="10" t="n">
        <v>6.7</v>
      </c>
      <c r="F7" s="10" t="n">
        <v>7.4</v>
      </c>
      <c r="G7" s="10" t="n">
        <v>8.699999999999999</v>
      </c>
      <c r="H7" s="10" t="n">
        <v>4.2</v>
      </c>
      <c r="I7" s="10" t="n">
        <v>4.3</v>
      </c>
      <c r="J7" s="10" t="n">
        <v>7</v>
      </c>
      <c r="K7" s="10" t="n">
        <v>3.9</v>
      </c>
      <c r="L7" s="10" t="n">
        <v>4</v>
      </c>
      <c r="M7" s="10" t="n">
        <v>3.5</v>
      </c>
      <c r="N7" s="10" t="n">
        <v>3</v>
      </c>
      <c r="O7" s="10" t="n">
        <v>5.7</v>
      </c>
      <c r="P7" s="10" t="n">
        <v>6.6</v>
      </c>
      <c r="Q7" s="10" t="n">
        <v>4.7</v>
      </c>
      <c r="R7" s="10" t="n">
        <v>4.4</v>
      </c>
      <c r="S7" s="10" t="n">
        <v>7.2</v>
      </c>
      <c r="T7" s="10" t="n">
        <v>7.2</v>
      </c>
      <c r="U7" s="10" t="n">
        <v>5.7</v>
      </c>
      <c r="V7" s="10" t="n">
        <v>7.1</v>
      </c>
      <c r="W7" s="10" t="n">
        <v>8.5</v>
      </c>
      <c r="X7" s="10" t="n">
        <v>7.7</v>
      </c>
      <c r="Y7" s="10" t="n">
        <v>6.8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40" customWidth="1" min="3" max="3"/>
    <col width="16" customWidth="1" min="4" max="4"/>
  </cols>
  <sheetData>
    <row r="1">
      <c r="A1" s="1" t="inlineStr">
        <is>
          <t>DATA DICTIONARY &amp; STAR-SCHEMA NOTES</t>
        </is>
      </c>
    </row>
    <row r="2">
      <c r="A2" s="12" t="inlineStr">
        <is>
          <t>For the Power BI / analytics layer built on sheets 21–28</t>
        </is>
      </c>
    </row>
    <row r="3">
      <c r="A3" s="13" t="inlineStr">
        <is>
          <t>FACT TABLES</t>
        </is>
      </c>
    </row>
    <row r="4">
      <c r="A4" s="14" t="inlineStr">
        <is>
          <t>Table</t>
        </is>
      </c>
      <c r="B4" s="14" t="inlineStr">
        <is>
          <t>Grain</t>
        </is>
      </c>
      <c r="C4" s="14" t="inlineStr">
        <is>
          <t>Key Measures</t>
        </is>
      </c>
      <c r="D4" s="14" t="inlineStr">
        <is>
          <t>Source Sheet</t>
        </is>
      </c>
    </row>
    <row r="5" ht="26" customHeight="1">
      <c r="A5" s="15" t="inlineStr">
        <is>
          <t>Fact_OPD</t>
        </is>
      </c>
      <c r="B5" s="8" t="inlineStr">
        <is>
          <t>Month</t>
        </is>
      </c>
      <c r="C5" s="4" t="inlineStr">
        <is>
          <t>Footfall, New/Follow-up split, Conversion Rate</t>
        </is>
      </c>
      <c r="D5" s="16" t="inlineStr">
        <is>
          <t>21_Analytics_OPD</t>
        </is>
      </c>
    </row>
    <row r="6" ht="26" customHeight="1">
      <c r="A6" s="15" t="inlineStr">
        <is>
          <t>Fact_IPD</t>
        </is>
      </c>
      <c r="B6" s="8" t="inlineStr">
        <is>
          <t>Month</t>
        </is>
      </c>
      <c r="C6" s="4" t="inlineStr">
        <is>
          <t>Admissions, ALOS, Patient Days, Readmission Rate</t>
        </is>
      </c>
      <c r="D6" s="16" t="inlineStr">
        <is>
          <t>22_Analytics_IPD</t>
        </is>
      </c>
    </row>
    <row r="7" ht="26" customHeight="1">
      <c r="A7" s="15" t="inlineStr">
        <is>
          <t>Fact_Emergency_OT</t>
        </is>
      </c>
      <c r="B7" s="8" t="inlineStr">
        <is>
          <t>Month</t>
        </is>
      </c>
      <c r="C7" s="4" t="inlineStr">
        <is>
          <t>ER Visits, Admission Rate, OT Cases, OT Utilisation</t>
        </is>
      </c>
      <c r="D7" s="16" t="inlineStr">
        <is>
          <t>23_Analytics_Emergency_OT</t>
        </is>
      </c>
    </row>
    <row r="8" ht="26" customHeight="1">
      <c r="A8" s="15" t="inlineStr">
        <is>
          <t>Fact_Diagnostics_Pharmacy</t>
        </is>
      </c>
      <c r="B8" s="8" t="inlineStr">
        <is>
          <t>Month</t>
        </is>
      </c>
      <c r="C8" s="4" t="inlineStr">
        <is>
          <t>Lab Tests, Imaging Studies, Rx Filled, Lab TAT</t>
        </is>
      </c>
      <c r="D8" s="16" t="inlineStr">
        <is>
          <t>24_Analytics_Diag_Pharmacy</t>
        </is>
      </c>
    </row>
    <row r="9" ht="26" customHeight="1">
      <c r="A9" s="15" t="inlineStr">
        <is>
          <t>Fact_Bed_Occupancy</t>
        </is>
      </c>
      <c r="B9" s="8" t="inlineStr">
        <is>
          <t>Month × Ward</t>
        </is>
      </c>
      <c r="C9" s="4" t="inlineStr">
        <is>
          <t>Occupancy % by ward, Blended Occupancy</t>
        </is>
      </c>
      <c r="D9" s="16" t="inlineStr">
        <is>
          <t>25_Analytics_Beds_Occupancy</t>
        </is>
      </c>
    </row>
    <row r="10" ht="26" customHeight="1">
      <c r="A10" s="15" t="inlineStr">
        <is>
          <t>Fact_Revenue_Monthly</t>
        </is>
      </c>
      <c r="B10" s="8" t="inlineStr">
        <is>
          <t>Month × Revenue Stream</t>
        </is>
      </c>
      <c r="C10" s="4" t="inlineStr">
        <is>
          <t>IPD/OPD/Diagnostics/Pharmacy Revenue (₹ Lakh)</t>
        </is>
      </c>
      <c r="D10" s="16" t="inlineStr">
        <is>
          <t>26_Analytics_Revenue</t>
        </is>
      </c>
    </row>
    <row r="11" ht="26" customHeight="1">
      <c r="A11" s="15" t="inlineStr">
        <is>
          <t>Fact_Quality</t>
        </is>
      </c>
      <c r="B11" s="8" t="inlineStr">
        <is>
          <t>Month</t>
        </is>
      </c>
      <c r="C11" s="4" t="inlineStr">
        <is>
          <t>HAI Rate, Fall Rate, Medication Error Rate, CSAT</t>
        </is>
      </c>
      <c r="D11" s="16" t="inlineStr">
        <is>
          <t>27_Analytics_Quality</t>
        </is>
      </c>
    </row>
    <row r="12" ht="26" customHeight="1">
      <c r="A12" s="15" t="inlineStr">
        <is>
          <t>Fact_HR</t>
        </is>
      </c>
      <c r="B12" s="8" t="inlineStr">
        <is>
          <t>Month</t>
        </is>
      </c>
      <c r="C12" s="4" t="inlineStr">
        <is>
          <t>Headcount, Attrition Rate, Vacancy Rate, Training Hours</t>
        </is>
      </c>
      <c r="D12" s="16" t="inlineStr">
        <is>
          <t>28_Analytics_HR</t>
        </is>
      </c>
    </row>
    <row r="13"/>
    <row r="14">
      <c r="A14" s="13" t="inlineStr">
        <is>
          <t>DIMENSION TABLES</t>
        </is>
      </c>
    </row>
    <row r="15">
      <c r="A15" s="14" t="inlineStr">
        <is>
          <t>Table</t>
        </is>
      </c>
      <c r="B15" s="14" t="inlineStr">
        <is>
          <t>Attributes</t>
        </is>
      </c>
      <c r="C15" s="14" t="n"/>
      <c r="D15" s="14" t="n"/>
    </row>
    <row r="16" ht="22" customHeight="1">
      <c r="A16" s="15" t="inlineStr">
        <is>
          <t>Dim_Date</t>
        </is>
      </c>
      <c r="B16" s="4" t="inlineStr">
        <is>
          <t>Month, Year, Fiscal Year, Phase (Launch/Stabilisation/Mature)</t>
        </is>
      </c>
      <c r="C16" s="17" t="n"/>
      <c r="D16" s="18" t="n"/>
    </row>
    <row r="17" ht="22" customHeight="1">
      <c r="A17" s="15" t="inlineStr">
        <is>
          <t>Dim_Department</t>
        </is>
      </c>
      <c r="B17" s="4" t="inlineStr">
        <is>
          <t>Department Name, Clinical/Support flag, Phase Introduced</t>
        </is>
      </c>
      <c r="C17" s="17" t="n"/>
      <c r="D17" s="18" t="n"/>
    </row>
    <row r="18" ht="22" customHeight="1">
      <c r="A18" s="15" t="inlineStr">
        <is>
          <t>Dim_Ward</t>
        </is>
      </c>
      <c r="B18" s="4" t="inlineStr">
        <is>
          <t>Ward Name, Bed Category, Licensed Beds</t>
        </is>
      </c>
      <c r="C18" s="17" t="n"/>
      <c r="D18" s="18" t="n"/>
    </row>
    <row r="19" ht="22" customHeight="1">
      <c r="A19" s="15" t="inlineStr">
        <is>
          <t>Dim_Revenue_Stream</t>
        </is>
      </c>
      <c r="B19" s="4" t="inlineStr">
        <is>
          <t>Stream Name (IPD/OPD/Diagnostics/Pharmacy)</t>
        </is>
      </c>
      <c r="C19" s="17" t="n"/>
      <c r="D19" s="18" t="n"/>
    </row>
    <row r="20"/>
    <row r="21">
      <c r="A21" s="19" t="inlineStr">
        <is>
          <t>This star schema (Fact tables 21–28 + Dim_Date/Department/Ward/Revenue_Stream) is the recommended model to load into Power BI Desktop: import each Analytics sheet as a Fact table, build the four Dim tables from their respective columns, then relate on Month/Department/Ward/Stream. See the accompanying Hospital_360_Dashboard.html for a working example of the resulting KPI dashboard, since Power BI Desktop itself is not available in this environment to produce a .pbix file directly.</t>
        </is>
      </c>
    </row>
  </sheetData>
  <mergeCells count="9">
    <mergeCell ref="A1:D1"/>
    <mergeCell ref="B19:D19"/>
    <mergeCell ref="A3:D3"/>
    <mergeCell ref="A21:D21"/>
    <mergeCell ref="B17:D17"/>
    <mergeCell ref="B18:D18"/>
    <mergeCell ref="A2:D2"/>
    <mergeCell ref="B16:D16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2026-09-15T04:26:11Z</dcterms:created>
  <dcterms:modified xmlns:dcterms="http://purl.org/dc/terms/" xmlns:xsi="http://www.w3.org/2001/XMLSchema-instance" xsi:type="dcterms:W3CDTF">2026-09-15T04:26:11Z</dcterms:modified>
</cp:coreProperties>
</file>