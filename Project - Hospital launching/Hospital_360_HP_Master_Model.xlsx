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 firstSheet="27" activeTab="30"/>
  </bookViews>
  <sheets>
    <sheet name="Cover" sheetId="1" r:id="rId1"/>
    <sheet name="01_Project_Charter" sheetId="2" r:id="rId2"/>
    <sheet name="Source_Register" sheetId="3" r:id="rId3"/>
    <sheet name="02_Assumptions" sheetId="4" r:id="rId4"/>
    <sheet name="03_Himachal_Market_Data" sheetId="5" r:id="rId5"/>
    <sheet name="04_Location_Analysis" sheetId="6" r:id="rId6"/>
    <sheet name="05_Hospital_Profile" sheetId="7" r:id="rId7"/>
    <sheet name="06_Hospital_Design" sheetId="8" r:id="rId8"/>
    <sheet name="07_Bed_Mix" sheetId="9" r:id="rId9"/>
    <sheet name="08_Department_Planning" sheetId="10" r:id="rId10"/>
    <sheet name="09_Manpower" sheetId="11" r:id="rId11"/>
    <sheet name="10_CAPEX" sheetId="12" r:id="rId12"/>
    <sheet name="11_OPEX" sheetId="13" r:id="rId13"/>
    <sheet name="12_Revenue" sheetId="14" r:id="rId14"/>
    <sheet name="13_PL" sheetId="15" r:id="rId15"/>
    <sheet name="14_Cash_Flow" sheetId="16" r:id="rId16"/>
    <sheet name="15_Break_Even" sheetId="17" r:id="rId17"/>
    <sheet name="16_Sensitivity" sheetId="18" r:id="rId18"/>
    <sheet name="17_Operations_KPIs" sheetId="19" r:id="rId19"/>
    <sheet name="18_Patient_Flow" sheetId="20" r:id="rId20"/>
    <sheet name="19_NABH_Readiness" sheetId="21" r:id="rId21"/>
    <sheet name="20_Competitor_Benchmark" sheetId="22" r:id="rId22"/>
    <sheet name="21_Analytics_OPD" sheetId="23" r:id="rId23"/>
    <sheet name="22_Analytics_IPD" sheetId="24" r:id="rId24"/>
    <sheet name="23_Analytics_Emergency_OT" sheetId="25" r:id="rId25"/>
    <sheet name="24_Analytics_Diag_Pharmacy" sheetId="26" r:id="rId26"/>
    <sheet name="25_Analytics_Beds_Occupancy" sheetId="27" r:id="rId27"/>
    <sheet name="26_Analytics_Revenue" sheetId="28" r:id="rId28"/>
    <sheet name="27_Analytics_Quality" sheetId="29" r:id="rId29"/>
    <sheet name="28_Analytics_HR" sheetId="30" r:id="rId30"/>
    <sheet name="29_Data_Dictionary" sheetId="31" r:id="rId31"/>
  </sheets>
  <calcPr calcId="144525"/>
</workbook>
</file>

<file path=xl/calcChain.xml><?xml version="1.0" encoding="utf-8"?>
<calcChain xmlns="http://schemas.openxmlformats.org/spreadsheetml/2006/main">
  <c r="Y8" i="28" l="1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B8" i="28"/>
  <c r="B7" i="19"/>
  <c r="B5" i="19"/>
  <c r="G7" i="14"/>
  <c r="H7" i="14" s="1"/>
  <c r="I7" i="14" s="1"/>
  <c r="J7" i="14" s="1"/>
  <c r="K7" i="14" s="1"/>
  <c r="C7" i="14"/>
  <c r="D7" i="14" s="1"/>
  <c r="E7" i="14" s="1"/>
  <c r="F7" i="14" s="1"/>
  <c r="B13" i="19" s="1"/>
  <c r="B7" i="14"/>
  <c r="I6" i="14"/>
  <c r="I8" i="14" s="1"/>
  <c r="I9" i="14" s="1"/>
  <c r="E6" i="14"/>
  <c r="E8" i="14" s="1"/>
  <c r="E9" i="14" s="1"/>
  <c r="K5" i="14"/>
  <c r="J5" i="14"/>
  <c r="I5" i="14"/>
  <c r="H5" i="14"/>
  <c r="G5" i="14"/>
  <c r="F5" i="14"/>
  <c r="B4" i="19" s="1"/>
  <c r="E5" i="14"/>
  <c r="D5" i="14"/>
  <c r="C5" i="14"/>
  <c r="B5" i="14"/>
  <c r="K4" i="14"/>
  <c r="K6" i="14" s="1"/>
  <c r="J4" i="14"/>
  <c r="J6" i="14" s="1"/>
  <c r="J8" i="14" s="1"/>
  <c r="J9" i="14" s="1"/>
  <c r="I4" i="14"/>
  <c r="H4" i="14"/>
  <c r="H6" i="14" s="1"/>
  <c r="H8" i="14" s="1"/>
  <c r="H9" i="14" s="1"/>
  <c r="G4" i="14"/>
  <c r="G6" i="14" s="1"/>
  <c r="G8" i="14" s="1"/>
  <c r="G9" i="14" s="1"/>
  <c r="F4" i="14"/>
  <c r="F6" i="14" s="1"/>
  <c r="F8" i="14" s="1"/>
  <c r="F9" i="14" s="1"/>
  <c r="E4" i="14"/>
  <c r="D4" i="14"/>
  <c r="D6" i="14" s="1"/>
  <c r="D8" i="14" s="1"/>
  <c r="D9" i="14" s="1"/>
  <c r="C4" i="14"/>
  <c r="C6" i="14" s="1"/>
  <c r="C8" i="14" s="1"/>
  <c r="C9" i="14" s="1"/>
  <c r="B4" i="14"/>
  <c r="B6" i="14" s="1"/>
  <c r="B8" i="14" s="1"/>
  <c r="B9" i="14" s="1"/>
  <c r="D16" i="13"/>
  <c r="E16" i="13" s="1"/>
  <c r="F16" i="13" s="1"/>
  <c r="G16" i="13" s="1"/>
  <c r="H16" i="13" s="1"/>
  <c r="I16" i="13" s="1"/>
  <c r="J16" i="13" s="1"/>
  <c r="K16" i="13" s="1"/>
  <c r="C16" i="13"/>
  <c r="B16" i="13"/>
  <c r="F11" i="12"/>
  <c r="D10" i="12"/>
  <c r="C10" i="12"/>
  <c r="B10" i="12"/>
  <c r="D9" i="12"/>
  <c r="C9" i="12"/>
  <c r="B9" i="12"/>
  <c r="D8" i="12"/>
  <c r="C8" i="12"/>
  <c r="B8" i="12"/>
  <c r="D7" i="12"/>
  <c r="C7" i="12"/>
  <c r="B7" i="12"/>
  <c r="B11" i="12" s="1"/>
  <c r="B13" i="18" s="1"/>
  <c r="D6" i="12"/>
  <c r="C6" i="12"/>
  <c r="B6" i="12"/>
  <c r="D5" i="12"/>
  <c r="C5" i="12"/>
  <c r="B5" i="12"/>
  <c r="D4" i="12"/>
  <c r="C4" i="12"/>
  <c r="C11" i="12" s="1"/>
  <c r="B4" i="12"/>
  <c r="B26" i="11"/>
  <c r="E22" i="11"/>
  <c r="D22" i="11"/>
  <c r="C22" i="11"/>
  <c r="F21" i="11"/>
  <c r="H21" i="11" s="1"/>
  <c r="F20" i="11"/>
  <c r="H19" i="11"/>
  <c r="F19" i="11"/>
  <c r="G19" i="11" s="1"/>
  <c r="H18" i="11"/>
  <c r="G18" i="11"/>
  <c r="F18" i="11"/>
  <c r="F17" i="11"/>
  <c r="H17" i="11" s="1"/>
  <c r="F16" i="11"/>
  <c r="H15" i="11"/>
  <c r="F15" i="11"/>
  <c r="G15" i="11" s="1"/>
  <c r="H14" i="11"/>
  <c r="G14" i="11"/>
  <c r="F14" i="11"/>
  <c r="F13" i="11"/>
  <c r="H13" i="11" s="1"/>
  <c r="F12" i="11"/>
  <c r="H11" i="11"/>
  <c r="F11" i="11"/>
  <c r="G11" i="11" s="1"/>
  <c r="H10" i="11"/>
  <c r="G10" i="11"/>
  <c r="F10" i="11"/>
  <c r="F9" i="11"/>
  <c r="H9" i="11" s="1"/>
  <c r="F8" i="11"/>
  <c r="H7" i="11"/>
  <c r="F7" i="11"/>
  <c r="G7" i="11" s="1"/>
  <c r="H6" i="11"/>
  <c r="G6" i="11"/>
  <c r="F6" i="11"/>
  <c r="F5" i="11"/>
  <c r="H5" i="11" s="1"/>
  <c r="F4" i="11"/>
  <c r="E12" i="9"/>
  <c r="D12" i="9"/>
  <c r="C12" i="9"/>
  <c r="B12" i="9"/>
  <c r="E11" i="9"/>
  <c r="E10" i="9"/>
  <c r="E9" i="9"/>
  <c r="E8" i="9"/>
  <c r="E7" i="9"/>
  <c r="E6" i="9"/>
  <c r="E5" i="9"/>
  <c r="E4" i="9"/>
  <c r="B10" i="8"/>
  <c r="B8" i="8"/>
  <c r="B7" i="8"/>
  <c r="B6" i="8"/>
  <c r="B5" i="8"/>
  <c r="B9" i="8" s="1"/>
  <c r="B13" i="6"/>
  <c r="D12" i="6"/>
  <c r="D11" i="6"/>
  <c r="D10" i="6"/>
  <c r="D9" i="6"/>
  <c r="D8" i="6"/>
  <c r="D7" i="6"/>
  <c r="D6" i="6"/>
  <c r="D5" i="6"/>
  <c r="D4" i="6"/>
  <c r="D13" i="6" s="1"/>
  <c r="B22" i="5"/>
  <c r="B26" i="5" s="1"/>
  <c r="B11" i="5"/>
  <c r="B5" i="16" l="1"/>
  <c r="H7" i="15"/>
  <c r="I9" i="16" s="1"/>
  <c r="D7" i="15"/>
  <c r="E9" i="16" s="1"/>
  <c r="C13" i="18"/>
  <c r="K7" i="15"/>
  <c r="L9" i="16" s="1"/>
  <c r="G7" i="15"/>
  <c r="H9" i="16" s="1"/>
  <c r="C7" i="15"/>
  <c r="D9" i="16" s="1"/>
  <c r="J7" i="15"/>
  <c r="K9" i="16" s="1"/>
  <c r="F7" i="15"/>
  <c r="G9" i="16" s="1"/>
  <c r="B7" i="15"/>
  <c r="C9" i="16" s="1"/>
  <c r="I7" i="15"/>
  <c r="J9" i="16" s="1"/>
  <c r="E7" i="15"/>
  <c r="F9" i="16" s="1"/>
  <c r="B15" i="12"/>
  <c r="H4" i="11"/>
  <c r="H22" i="11" s="1"/>
  <c r="B25" i="11" s="1"/>
  <c r="B27" i="11" s="1"/>
  <c r="G4" i="11"/>
  <c r="E11" i="14"/>
  <c r="E10" i="14"/>
  <c r="E12" i="14"/>
  <c r="H8" i="11"/>
  <c r="G8" i="11"/>
  <c r="H12" i="11"/>
  <c r="G12" i="11"/>
  <c r="H16" i="11"/>
  <c r="G16" i="11"/>
  <c r="H20" i="11"/>
  <c r="G20" i="11"/>
  <c r="G5" i="11"/>
  <c r="G9" i="11"/>
  <c r="G13" i="11"/>
  <c r="G17" i="11"/>
  <c r="G21" i="11"/>
  <c r="D11" i="12"/>
  <c r="D13" i="18" s="1"/>
  <c r="C10" i="14"/>
  <c r="C11" i="14"/>
  <c r="C12" i="14" s="1"/>
  <c r="G10" i="14"/>
  <c r="G11" i="14"/>
  <c r="G12" i="14" s="1"/>
  <c r="I11" i="14"/>
  <c r="I12" i="14" s="1"/>
  <c r="I10" i="14"/>
  <c r="H12" i="14"/>
  <c r="H10" i="14"/>
  <c r="H11" i="14"/>
  <c r="B11" i="14"/>
  <c r="B12" i="14"/>
  <c r="B10" i="14"/>
  <c r="F11" i="14"/>
  <c r="C8" i="18"/>
  <c r="F12" i="14"/>
  <c r="F10" i="14"/>
  <c r="J11" i="14"/>
  <c r="J12" i="14" s="1"/>
  <c r="J10" i="14"/>
  <c r="K8" i="14"/>
  <c r="K9" i="14" s="1"/>
  <c r="D10" i="14"/>
  <c r="D11" i="14"/>
  <c r="D12" i="14" s="1"/>
  <c r="B6" i="19"/>
  <c r="B5" i="18"/>
  <c r="C5" i="18" s="1"/>
  <c r="B6" i="18"/>
  <c r="C6" i="18" s="1"/>
  <c r="B7" i="18"/>
  <c r="C7" i="18" s="1"/>
  <c r="B8" i="18"/>
  <c r="B9" i="18"/>
  <c r="C9" i="18" s="1"/>
  <c r="G4" i="15" l="1"/>
  <c r="C4" i="15"/>
  <c r="D4" i="15"/>
  <c r="J4" i="15"/>
  <c r="I4" i="15"/>
  <c r="E4" i="15"/>
  <c r="H4" i="15"/>
  <c r="L10" i="16"/>
  <c r="H10" i="16"/>
  <c r="D10" i="16"/>
  <c r="H9" i="15"/>
  <c r="D9" i="15"/>
  <c r="K10" i="16"/>
  <c r="G10" i="16"/>
  <c r="C10" i="16"/>
  <c r="K9" i="15"/>
  <c r="G9" i="15"/>
  <c r="C9" i="15"/>
  <c r="J10" i="16"/>
  <c r="F10" i="16"/>
  <c r="J9" i="15"/>
  <c r="F9" i="15"/>
  <c r="B9" i="15"/>
  <c r="I10" i="16"/>
  <c r="B6" i="16"/>
  <c r="E9" i="15"/>
  <c r="E10" i="16"/>
  <c r="I9" i="15"/>
  <c r="C15" i="12"/>
  <c r="F4" i="15"/>
  <c r="B4" i="17"/>
  <c r="B4" i="15"/>
  <c r="B7" i="13"/>
  <c r="C7" i="13" s="1"/>
  <c r="D7" i="13" s="1"/>
  <c r="E7" i="13" s="1"/>
  <c r="F7" i="13" s="1"/>
  <c r="G7" i="13" s="1"/>
  <c r="H7" i="13" s="1"/>
  <c r="I7" i="13" s="1"/>
  <c r="J7" i="13" s="1"/>
  <c r="K7" i="13" s="1"/>
  <c r="B5" i="13"/>
  <c r="C5" i="13" s="1"/>
  <c r="D5" i="13" s="1"/>
  <c r="E5" i="13" s="1"/>
  <c r="F5" i="13" s="1"/>
  <c r="B9" i="13"/>
  <c r="C9" i="13" s="1"/>
  <c r="D9" i="13" s="1"/>
  <c r="E9" i="13" s="1"/>
  <c r="F9" i="13" s="1"/>
  <c r="G9" i="13" s="1"/>
  <c r="H9" i="13" s="1"/>
  <c r="I9" i="13" s="1"/>
  <c r="J9" i="13" s="1"/>
  <c r="K9" i="13" s="1"/>
  <c r="B8" i="13"/>
  <c r="C8" i="13" s="1"/>
  <c r="D8" i="13" s="1"/>
  <c r="E8" i="13" s="1"/>
  <c r="F8" i="13" s="1"/>
  <c r="G8" i="13" s="1"/>
  <c r="H8" i="13" s="1"/>
  <c r="I8" i="13" s="1"/>
  <c r="J8" i="13" s="1"/>
  <c r="K8" i="13" s="1"/>
  <c r="B6" i="13"/>
  <c r="C6" i="13" s="1"/>
  <c r="D6" i="13" s="1"/>
  <c r="E6" i="13" s="1"/>
  <c r="F6" i="13" s="1"/>
  <c r="G6" i="13" s="1"/>
  <c r="H6" i="13" s="1"/>
  <c r="I6" i="13" s="1"/>
  <c r="J6" i="13" s="1"/>
  <c r="K6" i="13" s="1"/>
  <c r="K10" i="14"/>
  <c r="K11" i="14"/>
  <c r="K12" i="14" s="1"/>
  <c r="G22" i="11"/>
  <c r="B16" i="12"/>
  <c r="D14" i="18"/>
  <c r="D15" i="18" s="1"/>
  <c r="B14" i="18"/>
  <c r="B15" i="18" s="1"/>
  <c r="K4" i="15" l="1"/>
  <c r="B5" i="17"/>
  <c r="B7" i="17" s="1"/>
  <c r="G5" i="13"/>
  <c r="H5" i="13" s="1"/>
  <c r="I5" i="13" s="1"/>
  <c r="J5" i="13" s="1"/>
  <c r="K5" i="13" s="1"/>
  <c r="B9" i="17"/>
  <c r="B7" i="16"/>
  <c r="B11" i="16" s="1"/>
  <c r="B12" i="16" s="1"/>
  <c r="C16" i="12"/>
  <c r="H15" i="13"/>
  <c r="H4" i="13" s="1"/>
  <c r="H10" i="13" s="1"/>
  <c r="D15" i="13"/>
  <c r="D4" i="13" s="1"/>
  <c r="D10" i="13" s="1"/>
  <c r="K15" i="13"/>
  <c r="K4" i="13" s="1"/>
  <c r="K10" i="13" s="1"/>
  <c r="K5" i="15" s="1"/>
  <c r="G15" i="13"/>
  <c r="G4" i="13" s="1"/>
  <c r="G10" i="13" s="1"/>
  <c r="C15" i="13"/>
  <c r="C4" i="13" s="1"/>
  <c r="C10" i="13" s="1"/>
  <c r="F15" i="13"/>
  <c r="F4" i="13" s="1"/>
  <c r="E15" i="13"/>
  <c r="E4" i="13" s="1"/>
  <c r="E10" i="13" s="1"/>
  <c r="B15" i="13"/>
  <c r="B4" i="13" s="1"/>
  <c r="B10" i="13" s="1"/>
  <c r="J15" i="13"/>
  <c r="J4" i="13" s="1"/>
  <c r="J10" i="13" s="1"/>
  <c r="I15" i="13"/>
  <c r="I4" i="13" s="1"/>
  <c r="I10" i="13" s="1"/>
  <c r="B5" i="15" l="1"/>
  <c r="B6" i="15" s="1"/>
  <c r="B8" i="15" s="1"/>
  <c r="B10" i="15" s="1"/>
  <c r="B11" i="13"/>
  <c r="B12" i="13" s="1"/>
  <c r="E5" i="15"/>
  <c r="E6" i="15" s="1"/>
  <c r="E8" i="15" s="1"/>
  <c r="E10" i="15" s="1"/>
  <c r="E11" i="13"/>
  <c r="E12" i="13" s="1"/>
  <c r="F10" i="13"/>
  <c r="B6" i="17"/>
  <c r="J5" i="15"/>
  <c r="J6" i="15" s="1"/>
  <c r="J8" i="15" s="1"/>
  <c r="J10" i="15" s="1"/>
  <c r="J11" i="13"/>
  <c r="J12" i="13" s="1"/>
  <c r="C5" i="15"/>
  <c r="C6" i="15" s="1"/>
  <c r="C8" i="15" s="1"/>
  <c r="C10" i="15" s="1"/>
  <c r="C11" i="13"/>
  <c r="C12" i="13" s="1"/>
  <c r="H5" i="15"/>
  <c r="H6" i="15" s="1"/>
  <c r="H8" i="15" s="1"/>
  <c r="H10" i="15" s="1"/>
  <c r="H11" i="13"/>
  <c r="H12" i="13" s="1"/>
  <c r="K6" i="15"/>
  <c r="K8" i="15" s="1"/>
  <c r="K10" i="15" s="1"/>
  <c r="G5" i="15"/>
  <c r="G6" i="15" s="1"/>
  <c r="G8" i="15" s="1"/>
  <c r="G10" i="15" s="1"/>
  <c r="G11" i="13"/>
  <c r="G12" i="13" s="1"/>
  <c r="I5" i="15"/>
  <c r="I6" i="15" s="1"/>
  <c r="I8" i="15" s="1"/>
  <c r="I10" i="15" s="1"/>
  <c r="I11" i="13"/>
  <c r="I12" i="13" s="1"/>
  <c r="D5" i="15"/>
  <c r="D6" i="15" s="1"/>
  <c r="D8" i="15" s="1"/>
  <c r="D10" i="15" s="1"/>
  <c r="D11" i="13"/>
  <c r="D12" i="13" s="1"/>
  <c r="K11" i="13"/>
  <c r="K12" i="13" s="1"/>
  <c r="D11" i="15" l="1"/>
  <c r="D12" i="15"/>
  <c r="G11" i="15"/>
  <c r="G12" i="15" s="1"/>
  <c r="H11" i="15"/>
  <c r="H12" i="15"/>
  <c r="J12" i="15"/>
  <c r="J11" i="15"/>
  <c r="E11" i="15"/>
  <c r="E12" i="15" s="1"/>
  <c r="K11" i="15"/>
  <c r="K12" i="15" s="1"/>
  <c r="I11" i="15"/>
  <c r="I12" i="15" s="1"/>
  <c r="B8" i="17"/>
  <c r="D6" i="18"/>
  <c r="E6" i="18" s="1"/>
  <c r="D9" i="18"/>
  <c r="E9" i="18" s="1"/>
  <c r="D8" i="18"/>
  <c r="E8" i="18" s="1"/>
  <c r="D5" i="18"/>
  <c r="E5" i="18" s="1"/>
  <c r="D7" i="18"/>
  <c r="E7" i="18" s="1"/>
  <c r="C11" i="15"/>
  <c r="C12" i="15"/>
  <c r="F5" i="15"/>
  <c r="F6" i="15" s="1"/>
  <c r="F11" i="13"/>
  <c r="F12" i="13" s="1"/>
  <c r="B14" i="19" s="1"/>
  <c r="B11" i="15"/>
  <c r="B12" i="15" s="1"/>
  <c r="F8" i="16" l="1"/>
  <c r="E13" i="15"/>
  <c r="J8" i="16"/>
  <c r="I13" i="15"/>
  <c r="H8" i="16"/>
  <c r="G13" i="15"/>
  <c r="C8" i="16"/>
  <c r="B13" i="15"/>
  <c r="L8" i="16"/>
  <c r="K13" i="15"/>
  <c r="B12" i="17"/>
  <c r="B10" i="17"/>
  <c r="B11" i="17" s="1"/>
  <c r="K8" i="16"/>
  <c r="J13" i="15"/>
  <c r="D8" i="16"/>
  <c r="C13" i="15"/>
  <c r="H13" i="15"/>
  <c r="I8" i="16"/>
  <c r="D13" i="15"/>
  <c r="E8" i="16"/>
  <c r="F8" i="15"/>
  <c r="F10" i="15" s="1"/>
  <c r="C14" i="18"/>
  <c r="C15" i="18" s="1"/>
  <c r="C11" i="16" l="1"/>
  <c r="C12" i="16" s="1"/>
  <c r="C13" i="16"/>
  <c r="J11" i="16"/>
  <c r="J13" i="16"/>
  <c r="D11" i="16"/>
  <c r="D13" i="16"/>
  <c r="I11" i="16"/>
  <c r="I13" i="16"/>
  <c r="E11" i="16"/>
  <c r="E13" i="16"/>
  <c r="F11" i="15"/>
  <c r="F12" i="15" s="1"/>
  <c r="K11" i="16"/>
  <c r="K13" i="16"/>
  <c r="L11" i="16"/>
  <c r="L13" i="16"/>
  <c r="H11" i="16"/>
  <c r="H13" i="16"/>
  <c r="F11" i="16"/>
  <c r="F13" i="16"/>
  <c r="G8" i="16" l="1"/>
  <c r="F13" i="15"/>
  <c r="D12" i="16"/>
  <c r="E12" i="16" s="1"/>
  <c r="F12" i="16" s="1"/>
  <c r="G11" i="16" l="1"/>
  <c r="G12" i="16" s="1"/>
  <c r="H12" i="16" s="1"/>
  <c r="I12" i="16" s="1"/>
  <c r="J12" i="16" s="1"/>
  <c r="K12" i="16" s="1"/>
  <c r="L12" i="16" s="1"/>
  <c r="G13" i="16"/>
</calcChain>
</file>

<file path=xl/sharedStrings.xml><?xml version="1.0" encoding="utf-8"?>
<sst xmlns="http://schemas.openxmlformats.org/spreadsheetml/2006/main" count="1246" uniqueCount="843">
  <si>
    <t>HOSPITAL 360</t>
  </si>
  <si>
    <t>Strategic Healthcare Management &amp; Analytics Model</t>
  </si>
  <si>
    <t>Complete 12-Step Practical Project — Master Model Workbook</t>
  </si>
  <si>
    <t>Locked project assumptions:</t>
  </si>
  <si>
    <t>Location</t>
  </si>
  <si>
    <t>Kangra–Palampur corridor, Himachal Pradesh</t>
  </si>
  <si>
    <t>Model type</t>
  </si>
  <si>
    <t>100-bed regional multispecialty hospital</t>
  </si>
  <si>
    <t>Launch scale</t>
  </si>
  <si>
    <t>75–80 operational beds at Year 1, scaling to 100 beds</t>
  </si>
  <si>
    <t>Base Case CAPEX</t>
  </si>
  <si>
    <t>₹50 crore  (Lean ₹40 crore / Upper ₹60 crore)</t>
  </si>
  <si>
    <t>Nature of model</t>
  </si>
  <si>
    <t>Hypothetical academic strategic model — not an existing hospital</t>
  </si>
  <si>
    <t>Prepared for</t>
  </si>
  <si>
    <t>MBA Pharma &amp; Healthcare Management capstone — Dev, Shoolini Business School</t>
  </si>
  <si>
    <t>Decision framework</t>
  </si>
  <si>
    <t>CONDITIONAL GO pending site, demand, regulatory &amp; financial due diligence</t>
  </si>
  <si>
    <t>Data labelling convention used throughout this workbook:</t>
  </si>
  <si>
    <t>Actual Public Data</t>
  </si>
  <si>
    <t>Verifiable published figures (Census, Govt/HP Health Dept, hospital public disclosures) — cited in Source Register.</t>
  </si>
  <si>
    <t>Benchmark</t>
  </si>
  <si>
    <t>Industry / peer-hospital norms used for planning where no local figure exists.</t>
  </si>
  <si>
    <t>Assumption</t>
  </si>
  <si>
    <t>Project-team judgement calls, explicitly flagged, used where data is unavailable.</t>
  </si>
  <si>
    <t>Calculated Value</t>
  </si>
  <si>
    <t>Derived by formula from the above three categories.</t>
  </si>
  <si>
    <t>Synthetic data used in the Analytics sheets (21–29) is explicitly labelled SYNTHETIC and must never be presented as real patient or hospital data.</t>
  </si>
  <si>
    <t>Workbook map:</t>
  </si>
  <si>
    <t>• 02_Assumptions, 03_Himachal_Market_Data, Source_Register</t>
  </si>
  <si>
    <t>• 04_Location_Analysis</t>
  </si>
  <si>
    <t>• 05_Hospital_Profile, 06_Hospital_Design, 07_Bed_Mix, 08_Department_Planning</t>
  </si>
  <si>
    <t>• 09_Manpower</t>
  </si>
  <si>
    <t>• 10_CAPEX, 11_OPEX, 12_Revenue, 13_P&amp;L, 14_Cash_Flow, 15_Break_Even, 16_Sensitivity</t>
  </si>
  <si>
    <t>• 17_Operations_KPIs, 18_Patient_Flow</t>
  </si>
  <si>
    <t>• 19_NABH_Readiness</t>
  </si>
  <si>
    <t>• 20_Competitor_Benchmark</t>
  </si>
  <si>
    <t>• 21–29_Analytics (synthetic data + star-schema dashboards)</t>
  </si>
  <si>
    <t>PROJECT CHARTER — HOSPITAL 360</t>
  </si>
  <si>
    <t>One-page charter summary (full narrative in Hospital_360_Project_Charter.docx)</t>
  </si>
  <si>
    <t>Project Title</t>
  </si>
  <si>
    <t>Hospital 360 — Strategic Healthcare Management &amp; Analytics Model for a 100-Bed Regional Multispecialty Hospital in the Kangra–Palampur Corridor, Himachal Pradesh</t>
  </si>
  <si>
    <t>Problem Statement</t>
  </si>
  <si>
    <t>Residents of the Kangra–Palampur corridor currently rely on an overstretched public tertiary hospital (RPGMC Tanda) or must travel to Chandigarh/Delhi for many tertiary-care needs, while the private sector in-corridor remains limited largely to one established player. There is a case to test whether a well-positioned, NABH-oriented 100-bed private multispecialty hospital can profitably close part of this access gap.</t>
  </si>
  <si>
    <t>Objectives</t>
  </si>
  <si>
    <t>1) Quantify the market opportunity for a 100-bed hospital in the corridor. 2) Test location feasibility against transparent weighted criteria. 3) Design the service/business model, capacity plan and manpower structure. 4) Build an integrated financial model (Base/Lean/Upper cases) to test viability. 5) Define an operations and NABH-oriented quality blueprint. 6) Benchmark competitors. 7) Build an analytics/Power-BI-ready reporting layer. 8) Arrive at a final, evidence-based Go/No-Go strategic recommendation.</t>
  </si>
  <si>
    <t>Scope</t>
  </si>
  <si>
    <t>A hypothetical, academic strategic and financial model — not an existing hospital and not a live investment proposal. Covers market analysis, location feasibility, service design, capacity &amp; manpower planning, a 10-year financial model, operations &amp; quality frameworks, competitor benchmarking, and a synthetic-data analytics layer.</t>
  </si>
  <si>
    <t>Key Assumptions</t>
  </si>
  <si>
    <t>100 licensed beds, launched at 75–80 beds; ₹50 Cr Base Case CAPEX (Lean ₹40 Cr / Upper ₹60 Cr); Kangra–Palampur corridor location locked per brief; all financial/operational figures explicitly tagged Actual Public Data, Benchmark, Assumption or Calculated Value; analytics-layer data is synthetic and explicitly labelled as such.</t>
  </si>
  <si>
    <t>Stakeholders</t>
  </si>
  <si>
    <t>Academic evaluators (MBA Pharma &amp; Healthcare Management programme); hypothetical promoter/investor group; hypothetical hospital management team; hypothetical regulatory bodies (State Health Department, NABH, NABL); hypothetical local community &amp; referral network.</t>
  </si>
  <si>
    <t>Research Questions</t>
  </si>
  <si>
    <t>Is there a quantifiable, evidence-based demand gap for tertiary multispecialty care in the Kangra–Palampur corridor? Is the Kangra–Palampur location feasible on transparent weighted criteria? Does a ₹50 Cr Base Case 100-bed model achieve break-even and acceptable debt-service coverage within a reasonable horizon? What quality, operations and analytics systems are needed to make the hospital NABH-ready and management-controllable?</t>
  </si>
  <si>
    <t>Methodology</t>
  </si>
  <si>
    <t>Desk research on publicly available demographic and healthcare-infrastructure data (Census 2011, known regional facilities); benchmark-driven financial and operational modelling using standard Indian private-hospital planning norms where local data is unavailable; weighted-criteria scoring for location feasibility; synthetic data generation to demonstrate an analytics/Power BI reporting layer; structured strategic synthesis into a final Go/No-Go recommendation.</t>
  </si>
  <si>
    <t>Deliverables</t>
  </si>
  <si>
    <t>Hospital_360_HP_Master_Model.xlsx (this workbook); Hospital_360_Source_Register.xlsx; Hospital_360_Synthetic_Data.xlsx; supporting Word documents (Project Charter, Market Analysis, Location Feasibility Notes, Service Model, Manpower Assumptions, Operations SOP, Quality Framework, Final Report, Final Strategy); Hospital_360_Final_Presentation.pptx; an interactive HTML analytics dashboard in place of a native Power BI .pbix file.</t>
  </si>
  <si>
    <t>Decision Framework</t>
  </si>
  <si>
    <t>CONDITIONAL GO is the default decision status throughout this project until site-specific, demand-specific, regulatory and financial due diligence are independently completed — this model supports, but does not replace, that due diligence.</t>
  </si>
  <si>
    <t>SOURCE REGISTER</t>
  </si>
  <si>
    <t>Every externally-sourced figure used across this workbook, with citation</t>
  </si>
  <si>
    <t>#</t>
  </si>
  <si>
    <t>Data Point</t>
  </si>
  <si>
    <t>Value Used In Model</t>
  </si>
  <si>
    <t>Category</t>
  </si>
  <si>
    <t>Source</t>
  </si>
  <si>
    <t>Year</t>
  </si>
  <si>
    <t>Kangra district population (2011 Census)</t>
  </si>
  <si>
    <t>1,510,075 (density 263/km²)</t>
  </si>
  <si>
    <t>Census of India 2011 / Registrar General &amp; Census Commissioner</t>
  </si>
  <si>
    <t>2011</t>
  </si>
  <si>
    <t>Himachal Pradesh state population (2011 Census)</t>
  </si>
  <si>
    <t>6,864,602</t>
  </si>
  <si>
    <t>Census of India 2011</t>
  </si>
  <si>
    <t>Kangra district decadal growth rate</t>
  </si>
  <si>
    <t>12.77% (2001–2011)</t>
  </si>
  <si>
    <t>Kangra tehsils in the corridor catchment (Kangra, Palampur, Dharamshala, Baijnath, Nagrota Bagwan tehsils)</t>
  </si>
  <si>
    <t>~590,000 combined tehsil population</t>
  </si>
  <si>
    <t>Sum of Census 2011 tehsil-level population (see 03_Himachal_Market_Data)</t>
  </si>
  <si>
    <t>Projected 2026 district population</t>
  </si>
  <si>
    <t>Grown from 2011 base at ~1.3%/yr compounded</t>
  </si>
  <si>
    <t>Project team — extrapolation of 2001–2011 CAGR; no 2021 Census was conducted</t>
  </si>
  <si>
    <t>2026</t>
  </si>
  <si>
    <t>HP doctor–population ratio / rural health infra gaps</t>
  </si>
  <si>
    <t>Directional benchmark only</t>
  </si>
  <si>
    <t>National Health Profile / HP Economic Survey (general public-domain reporting on HP healthcare infrastructure)</t>
  </si>
  <si>
    <t>Various</t>
  </si>
  <si>
    <t>India private tertiary hospital CAPEX per bed (Tier-2/3 city)</t>
  </si>
  <si>
    <t>₹45–65 lakh per bed</t>
  </si>
  <si>
    <t>Industry norm used in Indian hospital feasibility studies (project-team compiled benchmark range)</t>
  </si>
  <si>
    <t>Recent</t>
  </si>
  <si>
    <t>India private hospital OPEX staff cost as % of revenue</t>
  </si>
  <si>
    <t>38–45% of revenue</t>
  </si>
  <si>
    <t>Industry norm for 100–150 bed private multispecialty hospitals</t>
  </si>
  <si>
    <t>Mature-hospital occupancy for break-even in Tier-2/3 India</t>
  </si>
  <si>
    <t>55–65%</t>
  </si>
  <si>
    <t>Industry norm for regional multispecialty hospitals</t>
  </si>
  <si>
    <t>NABH standard structure (AAC, COP, MOM, PRE, HIC, PSQ, ROM, FMS, HRM, IMS)</t>
  </si>
  <si>
    <t>10 chapters used as-is</t>
  </si>
  <si>
    <t>National Accreditation Board for Hospitals &amp; Healthcare Providers (NABH) — public standards framework naming convention</t>
  </si>
  <si>
    <t>Current</t>
  </si>
  <si>
    <t>Fortis Hospital Kangra, RPGMC Tanda, Zonal Hospital Dharamshala, Civil Hospital Palampur — presence &amp; broad positioning</t>
  </si>
  <si>
    <t>Named as competitor set</t>
  </si>
  <si>
    <t>Publicly known regional healthcare providers in the Kangra–Palampur corridor</t>
  </si>
  <si>
    <t>All bed-mix, department, manpower, financial and analytics figures not listed above</t>
  </si>
  <si>
    <t>See respective sheets</t>
  </si>
  <si>
    <t>Assumption / Calculated Value</t>
  </si>
  <si>
    <t>Project team — built for this hypothetical academic model; not sourced from any real hospital's financials</t>
  </si>
  <si>
    <t>This register exists so every number elsewhere in the workbook can be traced back to Actual Public Data, a named Benchmark, an explicit Assumption, or a Calculated Value. Update this sheet whenever a new external figure is introduced anywhere in the model.</t>
  </si>
  <si>
    <t>PROJECT ASSUMPTION REGISTER</t>
  </si>
  <si>
    <t>Master list of every planning assumption feeding the model — change here, not in downstream sheets</t>
  </si>
  <si>
    <t>Value</t>
  </si>
  <si>
    <t>Unit</t>
  </si>
  <si>
    <t>Rationale / Note</t>
  </si>
  <si>
    <t>Hospital licensed bed capacity</t>
  </si>
  <si>
    <t>beds</t>
  </si>
  <si>
    <t>Locked project scope per brief</t>
  </si>
  <si>
    <t>Beds operational at launch (Year 1)</t>
  </si>
  <si>
    <t>Phased launch at 75–80 beds as instructed</t>
  </si>
  <si>
    <t>Beds operational at maturity (Year 5)</t>
  </si>
  <si>
    <t>Full licensed capacity reached by Year 5</t>
  </si>
  <si>
    <t>Base Case project CAPEX</t>
  </si>
  <si>
    <t>₹ Cr</t>
  </si>
  <si>
    <t>Locked Base Case per brief</t>
  </si>
  <si>
    <t>Lean Case project CAPEX</t>
  </si>
  <si>
    <t>Locked Lean scenario per brief</t>
  </si>
  <si>
    <t>Upper Case project CAPEX</t>
  </si>
  <si>
    <t>Locked Upper scenario per brief</t>
  </si>
  <si>
    <t>Land requirement</t>
  </si>
  <si>
    <t>acres</t>
  </si>
  <si>
    <t>Typical land norm for a 100-bed multispecialty facility with future expansion</t>
  </si>
  <si>
    <t>Built-up area</t>
  </si>
  <si>
    <t>sq ft</t>
  </si>
  <si>
    <t>~1,500 sq ft per licensed bed — standard Indian tertiary-care planning norm</t>
  </si>
  <si>
    <t>Construction &amp; fit-out period</t>
  </si>
  <si>
    <t>months</t>
  </si>
  <si>
    <t>Typical for a greenfield 100-bed hospital in a hill-state Tier-3 location</t>
  </si>
  <si>
    <t>Debt : Equity ratio for CAPEX funding</t>
  </si>
  <si>
    <t>ratio (D)</t>
  </si>
  <si>
    <t>65% debt / 35% equity — typical structure for hospital project finance in India</t>
  </si>
  <si>
    <t>Term loan interest rate</t>
  </si>
  <si>
    <t>% p.a.</t>
  </si>
  <si>
    <t>Indicative secured project-finance rate for healthcare infrastructure</t>
  </si>
  <si>
    <t>Loan tenure</t>
  </si>
  <si>
    <t>years</t>
  </si>
  <si>
    <t>Standard healthcare infra term loan tenure incl. moratorium</t>
  </si>
  <si>
    <t>Average Length of Stay (ALOS)</t>
  </si>
  <si>
    <t>days</t>
  </si>
  <si>
    <t>Typical ALOS for a regional multispecialty hospital case-mix</t>
  </si>
  <si>
    <t>Bed turnover ratio (mature year)</t>
  </si>
  <si>
    <t>times/bed/yr</t>
  </si>
  <si>
    <t>365 ÷ ALOS × target occupancy</t>
  </si>
  <si>
    <t>Target occupancy — Year 1</t>
  </si>
  <si>
    <t>%</t>
  </si>
  <si>
    <t>Conservative launch-year ramp-up</t>
  </si>
  <si>
    <t>Target occupancy — Year 3</t>
  </si>
  <si>
    <t>Stabilisation-phase ramp</t>
  </si>
  <si>
    <t>Target occupancy — Year 5 (mature)</t>
  </si>
  <si>
    <t>Mature-year target, above break-even occupancy</t>
  </si>
  <si>
    <t>OPD : IPD conversion ratio</t>
  </si>
  <si>
    <t>ratio</t>
  </si>
  <si>
    <t>~8% of OPD footfall converts to admission — typical multispecialty norm</t>
  </si>
  <si>
    <t>Revenue mix — IPD share</t>
  </si>
  <si>
    <t>Reflects bed-heavy tertiary-care revenue structure</t>
  </si>
  <si>
    <t>Revenue mix — OPD + Diagnostics + Pharmacy share</t>
  </si>
  <si>
    <t>1 minus IPD share</t>
  </si>
  <si>
    <t>Annual case-mix / tariff inflation</t>
  </si>
  <si>
    <t>Broadly tracks healthcare CPI</t>
  </si>
  <si>
    <t>Annual OPEX (non-staff) inflation</t>
  </si>
  <si>
    <t>General cost escalation</t>
  </si>
  <si>
    <t>Annual staff cost increment</t>
  </si>
  <si>
    <t>Reflects annual increments + attrition-driven repricing</t>
  </si>
  <si>
    <t>Bad debt / discount / TPA deduction</t>
  </si>
  <si>
    <t>% of gross revenue</t>
  </si>
  <si>
    <t>Typical for a mixed cash + insurance + govt-scheme payer base</t>
  </si>
  <si>
    <t>Depreciation — building</t>
  </si>
  <si>
    <t>% p.a. (SLM)</t>
  </si>
  <si>
    <t>33-year useful life, straight line</t>
  </si>
  <si>
    <t>Depreciation — medical equipment</t>
  </si>
  <si>
    <t>10-year useful life, straight line</t>
  </si>
  <si>
    <t>Corporate tax rate</t>
  </si>
  <si>
    <t>% (effective)</t>
  </si>
  <si>
    <t>Indicative effective rate incl. surcharge/cess for a domestic company</t>
  </si>
  <si>
    <t>Staff leave/training reserve</t>
  </si>
  <si>
    <t>% of core FTE</t>
  </si>
  <si>
    <t>Instructed 15% reserve for leave/training coverage</t>
  </si>
  <si>
    <t>Project appraisal horizon</t>
  </si>
  <si>
    <t>Standard horizon for hospital project-finance appraisal</t>
  </si>
  <si>
    <t>Discount rate (WACC) for NPV</t>
  </si>
  <si>
    <t>Blended cost of debt (post-tax) and equity for a healthcare infra project</t>
  </si>
  <si>
    <t>Named cells in this sheet (yellow fill, blue font) are the single edit-point for every downstream sheet — CAPEX, OPEX, Revenue, Manpower and Analytics all reference 02_Assumptions rather than hardcoding these numbers again.</t>
  </si>
  <si>
    <t>HIMACHAL PRADESH &amp; KANGRA–PALAMPUR MARKET DATA</t>
  </si>
  <si>
    <t>Every figure tagged Actual Public Data / Benchmark / Assumption / Calculated Value</t>
  </si>
  <si>
    <t>A. DEMOGRAPHIC BASE (CATCHMENT)</t>
  </si>
  <si>
    <t>Metric</t>
  </si>
  <si>
    <t>Note / Source</t>
  </si>
  <si>
    <t>Himachal Pradesh — total population (2011 Census)</t>
  </si>
  <si>
    <t>persons</t>
  </si>
  <si>
    <t>Kangra district — total population (2011 Census)</t>
  </si>
  <si>
    <t>Census of India 2011; most populous HP district</t>
  </si>
  <si>
    <t>Kangra district — population density</t>
  </si>
  <si>
    <t>per km²</t>
  </si>
  <si>
    <t>Kangra district — decadal growth rate (2001–11)</t>
  </si>
  <si>
    <t>Core catchment tehsils (Kangra, Palampur, Dharamshala, Baijnath, Nagrota Bagwan)</t>
  </si>
  <si>
    <t>Sum of 2011 tehsil populations: 97,568+189,276+136,536+95,229+76,899</t>
  </si>
  <si>
    <t>Assumed annual catchment growth (extrapolated)</t>
  </si>
  <si>
    <t>Derived from 2001–11 CAGR; no full 2021 Census available</t>
  </si>
  <si>
    <t>Projected 2026 core catchment population</t>
  </si>
  <si>
    <t>Formula-driven from rows above</t>
  </si>
  <si>
    <t>Secondary/referral catchment (wider Kangra + adjoining districts)</t>
  </si>
  <si>
    <t>Planning estimate for referral-level draw, not primary catchment</t>
  </si>
  <si>
    <t>B. PUBLIC HEALTHCARE INFRASTRUCTURE IN THE CORRIDOR</t>
  </si>
  <si>
    <t>Facility</t>
  </si>
  <si>
    <t>Indicative Bed Strength</t>
  </si>
  <si>
    <t>Type</t>
  </si>
  <si>
    <t>Note</t>
  </si>
  <si>
    <t>Dr. Rajendra Prasad Govt. Medical College (RPGMC), Tanda</t>
  </si>
  <si>
    <t>Govt. tertiary teaching hospital</t>
  </si>
  <si>
    <t>Largest public tertiary facility in the corridor — primary public competitor for complex/tertiary cases</t>
  </si>
  <si>
    <t>Zonal Hospital, Dharamshala</t>
  </si>
  <si>
    <t>Govt. secondary care</t>
  </si>
  <si>
    <t>District-level referral hospital; bed count is an indicative public planning figure</t>
  </si>
  <si>
    <t>Civil Hospital, Palampur</t>
  </si>
  <si>
    <t>Sub-divisional level facility</t>
  </si>
  <si>
    <t>Fortis Hospital, Kangra</t>
  </si>
  <si>
    <t>Private secondary/tertiary</t>
  </si>
  <si>
    <t>Key private-sector competitor already present in the corridor</t>
  </si>
  <si>
    <t>Other private nursing homes / clinics (aggregate)</t>
  </si>
  <si>
    <t>Private — small format</t>
  </si>
  <si>
    <t>Aggregate planning estimate; highly fragmented small-bed private sector</t>
  </si>
  <si>
    <t>Total indicative public + private beds in corridor</t>
  </si>
  <si>
    <t>C. MARKET GAP INDICATORS</t>
  </si>
  <si>
    <t>Implied beds per 1,000 population (corridor, public+private)</t>
  </si>
  <si>
    <t>beds/1,000</t>
  </si>
  <si>
    <t>Corridor bed base ÷ core catchment population, per 1,000</t>
  </si>
  <si>
    <t>WHO-referenced planning norm (general guidance)</t>
  </si>
  <si>
    <t>Commonly cited international planning benchmark, used only directionally for a hill-state corridor</t>
  </si>
  <si>
    <t>Directional inference</t>
  </si>
  <si>
    <t>Corridor is tertiary-capacity constrained outside RPGMC Tanda; private multispecialty options remain limited to one major player (Fortis Kangra)</t>
  </si>
  <si>
    <t>—</t>
  </si>
  <si>
    <t>Project team interpretation — not an official capacity-gap certification</t>
  </si>
  <si>
    <t>This sheet feeds the market-opportunity narrative in Hospital_360_HP_Market_Analysis.docx. Kangra population and growth-rate figures are Actual Public Data (Census 2011); all corridor-level bed-capacity synthesis and gap inference are Calculated/Assumption and are explicitly flagged as such — no 2021 Census exists to update the base year.</t>
  </si>
  <si>
    <t>LOCATION FEASIBILITY SCORECARD — KANGRA–PALAMPUR CORRIDOR</t>
  </si>
  <si>
    <t>Weighted 1–5 scoring against locked location per project brief</t>
  </si>
  <si>
    <t>Criterion</t>
  </si>
  <si>
    <t>Weight</t>
  </si>
  <si>
    <t>Score (1–5)</t>
  </si>
  <si>
    <t>Weighted Score</t>
  </si>
  <si>
    <t>Rationale</t>
  </si>
  <si>
    <t>Catchment population &amp; density</t>
  </si>
  <si>
    <t>Core corridor catchment ~5.9 lakh, secondary draw ~22 lakh — strong for a 100-bed facility</t>
  </si>
  <si>
    <t>Accessibility (road/rail/air linkage)</t>
  </si>
  <si>
    <t>NH154 corridor links Kangra–Palampur–Dharamshala; Gaggal airport ~20–30 min drive from key nodes</t>
  </si>
  <si>
    <t>Existing healthcare ecosystem (referral-in potential from smaller facilities)</t>
  </si>
  <si>
    <t>Civil Hospital Palampur, smaller nursing homes and PHCs create a natural referral base</t>
  </si>
  <si>
    <t>Competitive intensity</t>
  </si>
  <si>
    <t>RPGMC Tanda (public tertiary) and Fortis Kangra (private) already present — moderate, not saturated</t>
  </si>
  <si>
    <t>Land availability &amp; cost</t>
  </si>
  <si>
    <t>Hill-state topography constrains large flat parcels; land cost lower than metro but site assembly takes time</t>
  </si>
  <si>
    <t>Utility &amp; infrastructure readiness (power, water, telecom)</t>
  </si>
  <si>
    <t>Established township infrastructure across Kangra/Palampur/Dharamshala</t>
  </si>
  <si>
    <t>Workforce availability (clinical &amp; nursing talent pool)</t>
  </si>
  <si>
    <t>Proximity to RPGMC Tanda medical college aids recruitment; retention in a hill town is a known challenge</t>
  </si>
  <si>
    <t>Tourism / floating population (medical + wellness upside)</t>
  </si>
  <si>
    <t>Dharamshala–McLeodganj tourism corridor adds a non-resident patient/wellness opportunity</t>
  </si>
  <si>
    <t>Expansion potential (land banking for future phases)</t>
  </si>
  <si>
    <t>Feasible but subject to site-specific due diligence</t>
  </si>
  <si>
    <t>TOTAL / WEIGHTED SCORE (out of 5.0)</t>
  </si>
  <si>
    <t>Interpretation band: 4.0–5.0 Strong Go · 3.0–3.9 Conditional Go (site-specific diligence required) · below 3.0 Reassess. Weights and scores are Assumption-level judgement calls by the project team, not a certified site-selection audit. Do not claim site-level feasibility without formal due diligence (soil test, legal title, zoning clearance, water table study).</t>
  </si>
  <si>
    <t>HOSPITAL BUSINESS MODEL CANVAS</t>
  </si>
  <si>
    <t>Hospital 360 — 100-bed regional multispecialty concept</t>
  </si>
  <si>
    <t>Value Proposition</t>
  </si>
  <si>
    <t>Trusted, accessible, NABH-oriented multispecialty tertiary care for the Kangra–Palampur corridor — reducing the need for patients to travel to Chandigarh/Delhi for advanced treatment, while offering Dharamshala's tourism/floating population a dependable emergency and wellness option.</t>
  </si>
  <si>
    <t>Customer Segments</t>
  </si>
  <si>
    <t>Resident catchment population (~5.9 lakh core, ~22 lakh secondary); domestic &amp; international tourists visiting Dharamshala–McLeodganj; referral patients from smaller nursing homes/PHCs; government/insurance-scheme beneficiaries (Ayushman Bharat, HP state schemes, CGHS/ECHS).</t>
  </si>
  <si>
    <t>Channels</t>
  </si>
  <si>
    <t>Direct walk-in OPD; referral network with peripheral hospitals and PHCs; empanelment with insurers/TPAs and government schemes; digital presence (website, teleconsultation, appointment app); corporate &amp; institutional health-checkup tie-ups; hotel/tour-operator wellness tie-ups.</t>
  </si>
  <si>
    <t>Customer Relationships</t>
  </si>
  <si>
    <t>Personalised consultant-led care teams; dedicated patient-relationship desk for out-station/tourist patients; post-discharge follow-up and teleconsultation; loyalty/health-card programme for repeat local families.</t>
  </si>
  <si>
    <t>Revenue Streams</t>
  </si>
  <si>
    <t>IPD (bed charges, OT, ICU) ~62% · OPD consultations ~14% · Diagnostics (lab + imaging) ~14% · Pharmacy ~10% · Ancillary (health check packages, ambulance, wellness) — see 12_Revenue for the full build-up.</t>
  </si>
  <si>
    <t>Key Resources</t>
  </si>
  <si>
    <t>Clinical talent (consultants, nursing, allied health) · 100-bed licensed physical infrastructure · diagnostic &amp; OT equipment · NABH-oriented quality systems · HIS/EMR &amp; Power BI analytics layer · brand &amp; referral relationships.</t>
  </si>
  <si>
    <t>Key Activities</t>
  </si>
  <si>
    <t>Clinical service delivery (OPD/IPD/Emergency/OT) · quality &amp; accreditation management · manpower development · demand generation &amp; referral management · digital health records and analytics · community health outreach.</t>
  </si>
  <si>
    <t>Key Partners</t>
  </si>
  <si>
    <t>RPGMC Tanda &amp; academic institutions (training/referral) · insurers &amp; TPAs · government health schemes · diagnostic/pharma equipment OEMs · ambulance &amp; logistics partners · hospitality sector (Dharamshala tourism tie-ups).</t>
  </si>
  <si>
    <t>Cost Structure</t>
  </si>
  <si>
    <t>Manpower (largest single line, ~40% of OPEX) · consumables &amp; pharmacy · equipment maintenance &amp; depreciation · utilities &amp; facility management · marketing/referral development · quality/accreditation costs — see 11_OPEX.</t>
  </si>
  <si>
    <t>SERVICE PORTFOLIO BY PHASE</t>
  </si>
  <si>
    <t>Phase</t>
  </si>
  <si>
    <t>Services</t>
  </si>
  <si>
    <t>Phase 1 (Launch, 75–80 beds)</t>
  </si>
  <si>
    <t>General Medicine, General Surgery, Obstetrics &amp; Gynaecology, Paediatrics, Orthopaedics, Emergency &amp; Trauma, ICU/HDU, Anaesthesia, Radiology (X-ray/USG/CT), Laboratory, Pharmacy, Physiotherapy.</t>
  </si>
  <si>
    <t>Phase 2 (Stabilisation, Year 2–3, scaling to ~90 beds)</t>
  </si>
  <si>
    <t>Cardiology &amp; Cath Lab, Nephrology &amp; Dialysis, Gastroenterology, Urology, ENT, Ophthalmology, Oncology OPD/Day-care Chemotherapy, Advanced Imaging (MRI).</t>
  </si>
  <si>
    <t>Phase 3 (Demand-driven, Year 4–5, 100 beds)</t>
  </si>
  <si>
    <t>Neurology/Neurosurgery, Cardiac Surgery (subject to demand study), Renal Transplant work-up, Advanced Oncology, Fertility/IVF, Executive Health &amp; Wellness Centre (tourism-linked).</t>
  </si>
  <si>
    <t>CAPACITY, BUILT-UP AREA &amp; ZONING PLAN</t>
  </si>
  <si>
    <t>Conceptual planning — not an architectural drawing</t>
  </si>
  <si>
    <t>A. LAND &amp; BUILT-UP AREA</t>
  </si>
  <si>
    <t>Parameter</t>
  </si>
  <si>
    <t>Land parcel</t>
  </si>
  <si>
    <t>Linked to 02_Assumptions</t>
  </si>
  <si>
    <t>Total built-up area (all floors)</t>
  </si>
  <si>
    <t>Linked to 02_Assumptions — ~1,500 sq ft/licensed bed norm</t>
  </si>
  <si>
    <t>Clinical / diagnostic block</t>
  </si>
  <si>
    <t>45% of built-up area — OPD, diagnostics, OT, ICU, IPD wards</t>
  </si>
  <si>
    <t>Support services block (CSSD, pharmacy store, kitchen, laundry, mortuary)</t>
  </si>
  <si>
    <t>15% of built-up area</t>
  </si>
  <si>
    <t>Administrative &amp; academic block</t>
  </si>
  <si>
    <t>10% of built-up area</t>
  </si>
  <si>
    <t>Utility, plant room, parking &amp; circulation</t>
  </si>
  <si>
    <t>30% of built-up area — HVAC, DG, STP, fire, ramps, corridors</t>
  </si>
  <si>
    <t>B. CONCEPTUAL FLOOR ZONING</t>
  </si>
  <si>
    <t>Floor</t>
  </si>
  <si>
    <t>Zoning</t>
  </si>
  <si>
    <t>Basement</t>
  </si>
  <si>
    <t>Utility plant rooms, STP/ETP, mortuary, stores, parking</t>
  </si>
  <si>
    <t>Ground Floor</t>
  </si>
  <si>
    <t>Main entrance &amp; lobby, Emergency &amp; Trauma, OPD reception, Pharmacy (retail), Diagnostics — Radiology &amp; Lab sample collection, Billing</t>
  </si>
  <si>
    <t>First Floor</t>
  </si>
  <si>
    <t>OPD consultation suites (all specialities), Diagnostics — Lab &amp; Imaging (CT/USG/X-ray), Physiotherapy, Dialysis unit</t>
  </si>
  <si>
    <t>Second Floor</t>
  </si>
  <si>
    <t>Operation Theatres (OT complex), ICU/HDU, CSSD, Blood storage unit, Recovery bays</t>
  </si>
  <si>
    <t>Third Floor</t>
  </si>
  <si>
    <t>IPD general wards (Medicine, Surgery), Nursing station, Patient dietary pantry</t>
  </si>
  <si>
    <t>Fourth Floor</t>
  </si>
  <si>
    <t>IPD wards (Ortho, Paediatrics), Maternity &amp; Labour room, NICU</t>
  </si>
  <si>
    <t>Fifth Floor</t>
  </si>
  <si>
    <t>Private rooms &amp; suites, Administrative offices, Conference/training room, Executive Health Centre</t>
  </si>
  <si>
    <t>This is a conceptual stacking/zoning plan for planning-stage discussion, not an architect-certified floor plan. A registered hospital architect and structural consultant must validate against final site topography, fire-NOC and HP building-bye-law requirements before construction.</t>
  </si>
  <si>
    <t>BED MIX PLAN</t>
  </si>
  <si>
    <t>100 licensed beds — launch at 75–80, scale to 100 by maturity</t>
  </si>
  <si>
    <t>Bed Category</t>
  </si>
  <si>
    <t>Launch (Yr 1)</t>
  </si>
  <si>
    <t>Stabilisation (Yr 3)</t>
  </si>
  <si>
    <t>Mature (Yr 5)</t>
  </si>
  <si>
    <t>% of Licensed 100</t>
  </si>
  <si>
    <t>General Ward — Medicine/Surgery</t>
  </si>
  <si>
    <t>Multi-bed general wards, largest single category</t>
  </si>
  <si>
    <t>General Ward — Paediatrics</t>
  </si>
  <si>
    <t>Includes 2 isolation-capable bays</t>
  </si>
  <si>
    <t>Maternity &amp; Labour</t>
  </si>
  <si>
    <t>Labour room + post-natal beds</t>
  </si>
  <si>
    <t>NICU</t>
  </si>
  <si>
    <t>Level II neonatal care</t>
  </si>
  <si>
    <t>ICU / HDU (adult)</t>
  </si>
  <si>
    <t>Critical care — ventilator-capable</t>
  </si>
  <si>
    <t>Semi-Private Rooms</t>
  </si>
  <si>
    <t>Twin-sharing</t>
  </si>
  <si>
    <t>Private Rooms &amp; Suites</t>
  </si>
  <si>
    <t>Single occupancy incl. 2 suites</t>
  </si>
  <si>
    <t>Dialysis bays (non-IPD, day-care)</t>
  </si>
  <si>
    <t>Counted separately from IPD bed licence in most states; shown for capacity planning</t>
  </si>
  <si>
    <t>TOTAL</t>
  </si>
  <si>
    <t>Dialysis bays are shown for capacity planning but licensed-bed totals for IPD (rows above, excluding dialysis) are designed to foot to 100 at maturity — recheck this row if the mix above is edited.</t>
  </si>
  <si>
    <t>DEPARTMENT PLANNING</t>
  </si>
  <si>
    <t>Clinical, diagnostic and support department build-out</t>
  </si>
  <si>
    <t>Department</t>
  </si>
  <si>
    <t>Key Facilities / Equipment</t>
  </si>
  <si>
    <t>OPD</t>
  </si>
  <si>
    <t>16 consultation rooms across specialities, triage &amp; vitals bay, procedure rooms</t>
  </si>
  <si>
    <t>Phase 1</t>
  </si>
  <si>
    <t>Sized for ~350–400 patients/day at maturity</t>
  </si>
  <si>
    <t>Emergency &amp; Trauma</t>
  </si>
  <si>
    <t>12-bay emergency with 2 resuscitation bays, triage, minor OT, ambulance bay</t>
  </si>
  <si>
    <t>24x7 operations from day one</t>
  </si>
  <si>
    <t>ICU / HDU</t>
  </si>
  <si>
    <t>12 ICU + HDU beds at maturity, central monitoring, ventilators, dedicated nursing ratio 1:1 (ICU) / 1:3 (HDU)</t>
  </si>
  <si>
    <t>Phase 1 (8 beds) → Phase 3 (12 beds)</t>
  </si>
  <si>
    <t>Ratio per NABH-oriented staffing norm</t>
  </si>
  <si>
    <t>Operation Theatres</t>
  </si>
  <si>
    <t>4 modular OTs (general, ortho, gynae, minor) at launch; +1 cardiac-capable OT in Phase 2</t>
  </si>
  <si>
    <t>Phase 1 → Phase 2</t>
  </si>
  <si>
    <t>Laminar air-flow in main OTs</t>
  </si>
  <si>
    <t>Maternity &amp; NICU</t>
  </si>
  <si>
    <t>Labour room (3 tables), post-natal ward, NICU (Level II, 6 bassinets at maturity)</t>
  </si>
  <si>
    <t xml:space="preserve"> </t>
  </si>
  <si>
    <t>Diagnostics — Imaging</t>
  </si>
  <si>
    <t>Digital X-ray, USG, 128-slice CT (Phase 1); MRI 1.5T (Phase 2)</t>
  </si>
  <si>
    <t>MRI deferred to Phase 2 pending demand validation</t>
  </si>
  <si>
    <t>Diagnostics — Laboratory</t>
  </si>
  <si>
    <t>Fully automated biochemistry &amp; haematology, microbiology, blood bank storage/component separation</t>
  </si>
  <si>
    <t>NABL accreditation targeted alongside NABH</t>
  </si>
  <si>
    <t>Pharmacy</t>
  </si>
  <si>
    <t>In-patient pharmacy + retail OPD pharmacy, drug store with cold-chain</t>
  </si>
  <si>
    <t>CSSD</t>
  </si>
  <si>
    <t>Centralised sterile supply, ETO + autoclave sterilisation</t>
  </si>
  <si>
    <t>Blood Support</t>
  </si>
  <si>
    <t>Blood storage unit at launch; upgrade to licensed Blood Bank with component separation in Phase 2</t>
  </si>
  <si>
    <t>Subject to state blood-bank licensing timelines</t>
  </si>
  <si>
    <t>Dialysis</t>
  </si>
  <si>
    <t>6 dialysis stations</t>
  </si>
  <si>
    <t>Physiotherapy &amp; Rehab</t>
  </si>
  <si>
    <t>Gym + electrotherapy + post-surgical rehab</t>
  </si>
  <si>
    <t>Cath Lab (Cardiology)</t>
  </si>
  <si>
    <t>Single-plane cath lab</t>
  </si>
  <si>
    <t>Phase 2</t>
  </si>
  <si>
    <t>Linked to Cardiology service launch</t>
  </si>
  <si>
    <t>Oncology Day-care</t>
  </si>
  <si>
    <t>8-chair chemotherapy day-care unit</t>
  </si>
  <si>
    <t>IT / MIS &amp; HIS</t>
  </si>
  <si>
    <t>Hospital Information System, EMR, PACS/RIS, Power BI analytics layer, biomedical equipment integration</t>
  </si>
  <si>
    <t>Phase 1 (core HIS) → Phase 2 (full PACS/BI)</t>
  </si>
  <si>
    <t>See 21–29 Analytics sheets</t>
  </si>
  <si>
    <t>Facility &amp; Support Services</t>
  </si>
  <si>
    <t>Housekeeping, biomedical engineering, security, dietary/kitchen, laundry, mortuary, ambulance fleet (2 at launch)</t>
  </si>
  <si>
    <t>MANPOWER / HR MODEL</t>
  </si>
  <si>
    <t>Department-wise FTE — Launch / Stabilisation / Mature, with 15% leave-training reserve</t>
  </si>
  <si>
    <t>Function</t>
  </si>
  <si>
    <t>Role</t>
  </si>
  <si>
    <t>Launch Core FTE</t>
  </si>
  <si>
    <t>Stabilisation Core FTE</t>
  </si>
  <si>
    <t>Mature Core FTE</t>
  </si>
  <si>
    <t>Reserve Factor</t>
  </si>
  <si>
    <t>Launch incl. Reserve</t>
  </si>
  <si>
    <t>Mature incl. Reserve</t>
  </si>
  <si>
    <t>Medical</t>
  </si>
  <si>
    <t>Consultants (Medicine/Surgery/Ortho/Gynae/Paeds — full-time)</t>
  </si>
  <si>
    <t>Core specialities at launch, added in Phase 2/3</t>
  </si>
  <si>
    <t>Consultants — Visiting/Panel (Cardiology, Nephrology, etc.)</t>
  </si>
  <si>
    <t>Visiting basis, converted to FTE-equivalent sessions</t>
  </si>
  <si>
    <t>Duty Doctors / Residents (Emergency + IPD cover)</t>
  </si>
  <si>
    <t>24x7 rostered cover across shifts</t>
  </si>
  <si>
    <t>Nursing</t>
  </si>
  <si>
    <t>Staff Nurses — ICU/HDU</t>
  </si>
  <si>
    <t>Ratio ~1:1 ICU, 1:3 HDU per shift</t>
  </si>
  <si>
    <t>Staff Nurses — General Ward/OPD/OT</t>
  </si>
  <si>
    <t>Ward ratio ~1:5–6 per shift, 3-shift rostering</t>
  </si>
  <si>
    <t>Nursing Supervisors / Matron</t>
  </si>
  <si>
    <t>Allied Health</t>
  </si>
  <si>
    <t>Lab Technologists</t>
  </si>
  <si>
    <t>Radiology/Imaging Technologists</t>
  </si>
  <si>
    <t>Grows with MRI/Cath Lab in Phase 2</t>
  </si>
  <si>
    <t>Pharmacists</t>
  </si>
  <si>
    <t>Physiotherapists</t>
  </si>
  <si>
    <t>OT Technicians / Anaesthesia Technicians</t>
  </si>
  <si>
    <t>Dialysis Technicians</t>
  </si>
  <si>
    <t>Administration</t>
  </si>
  <si>
    <t>Hospital Administration &amp; Front Office</t>
  </si>
  <si>
    <t>Finance &amp; Billing</t>
  </si>
  <si>
    <t>HR &amp; Training</t>
  </si>
  <si>
    <t>Quality</t>
  </si>
  <si>
    <t>Quality/NABH Cell</t>
  </si>
  <si>
    <t>Drives 19_NABH_Readiness roadmap</t>
  </si>
  <si>
    <t>IT/MIS</t>
  </si>
  <si>
    <t>HIS/EMR/PACS &amp; Biomedical IT</t>
  </si>
  <si>
    <t>Supports 21–29 Analytics layer</t>
  </si>
  <si>
    <t>Support Services</t>
  </si>
  <si>
    <t>Housekeeping, Security, Dietary, Laundry, Maintenance, Ambulance</t>
  </si>
  <si>
    <t>Largely outsourced/contract-managed FTE</t>
  </si>
  <si>
    <t>TOTAL FTE</t>
  </si>
  <si>
    <t>STAFF : BED RATIO CHECK</t>
  </si>
  <si>
    <t>Total FTE incl. reserve, mature (Col H total)</t>
  </si>
  <si>
    <t>Licensed beds (mature)</t>
  </si>
  <si>
    <t>Staff : Bed ratio</t>
  </si>
  <si>
    <t>Indian private multispecialty hospitals typically run a staff:bed ratio of ~2.0x–2.8x depending on case-mix acuity and outsourcing depth; the ratio above is a sense-check, not a target to reverse-engineer headcount from.</t>
  </si>
  <si>
    <t>CAPEX PLAN — BASE / LEAN / UPPER CASE</t>
  </si>
  <si>
    <t>All figures in ₹ Crore unless noted</t>
  </si>
  <si>
    <t>CAPEX Head</t>
  </si>
  <si>
    <t>Lean (₹40 Cr)</t>
  </si>
  <si>
    <t>Base (₹50 Cr)</t>
  </si>
  <si>
    <t>Upper (₹60 Cr)</t>
  </si>
  <si>
    <t>Share %</t>
  </si>
  <si>
    <t>Land &amp; site development</t>
  </si>
  <si>
    <t>Owned/long-lease; lower in Lean via smaller land parcel</t>
  </si>
  <si>
    <t>Civil construction &amp; structure</t>
  </si>
  <si>
    <t>Largest single head — G+5 structure</t>
  </si>
  <si>
    <t>MEP (electrical, HVAC, fire, plumbing)</t>
  </si>
  <si>
    <t>Mechanical/Electrical/Plumbing infrastructure</t>
  </si>
  <si>
    <t>Medical equipment</t>
  </si>
  <si>
    <t>ICU, OT, imaging (CT at launch; MRI/Cath Lab added Phase 2 outside Base Case Yr1 CAPEX)</t>
  </si>
  <si>
    <t>Furniture, fixtures &amp; non-medical equipment</t>
  </si>
  <si>
    <t>Beds, wards, admin, IT hardware</t>
  </si>
  <si>
    <t>Pre-operative expenses (licences, consultants, interest during construction)</t>
  </si>
  <si>
    <t>Contingency</t>
  </si>
  <si>
    <t>Standard project-finance contingency buffer</t>
  </si>
  <si>
    <t>TOTAL PROJECT CAPEX</t>
  </si>
  <si>
    <t>FUNDING STRUCTURE (BASE CASE)</t>
  </si>
  <si>
    <t>₹ Crore</t>
  </si>
  <si>
    <t>% of CAPEX</t>
  </si>
  <si>
    <t>Term Debt</t>
  </si>
  <si>
    <t>Promoter Equity</t>
  </si>
  <si>
    <t>Column F holds each head's % share of total CAPEX (Assumption-level), applied identically across Lean/Base/Upper so the mix stays consistent while only the overall envelope changes. Funding structure and debt terms link to 02_Assumptions (Debt:Equity ratio, interest rate, tenure) and drive 14_Cash_Flow.</t>
  </si>
  <si>
    <t>OPEX MODEL — BASE CASE (₹ LAKH)</t>
  </si>
  <si>
    <t>10-year operating cost build-up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</si>
  <si>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</si>
  <si>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</si>
  <si>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</si>
  <si>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</si>
  <si>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</si>
  <si>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</si>
  <si>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</si>
  <si>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</si>
  <si>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</si>
  <si>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</si>
  <si>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Staff Cost (₹ Lakh)</t>
  </si>
  <si>
    <t>Consumables, Drugs &amp; Surgical Items (₹ Lakh)</t>
  </si>
  <si>
    <t>Equipment AMC/CMC &amp; Maintenance (₹ Lakh)</t>
  </si>
  <si>
    <t>Utilities (Power, Water, Fuel) (₹ Lakh)</t>
  </si>
  <si>
    <t>Marketing &amp; Referral Development (₹ Lakh)</t>
  </si>
  <si>
    <t>Admin, Insurance &amp; Other Overheads (₹ Lakh)</t>
  </si>
  <si>
    <t>TOTAL OPEX (₹ Lakh)</t>
  </si>
  <si>
    <t>EBITDA (₹ Lakh)</t>
  </si>
  <si>
    <t>EBITDA Margin %</t>
  </si>
  <si>
    <t>Staff cost is FTE (from 09_Manpower, ramping launch→mature) × a Benchmark blended cost/FTE of ₹6.0 Lakh p.a. in Year 1, escalated by the staff increment assumption. Non-staff OPEX heads are set as a Year-1 % of Net Revenue (Benchmark ratios for a Tier-2/3 100-bed hospital) and then inflated — all editable in 02_Assumptions.</t>
  </si>
  <si>
    <t>Total FTE incl. reserve</t>
  </si>
  <si>
    <t>Blended Cost per FTE (₹ Lakh p.a.)</t>
  </si>
  <si>
    <t>REVENUE MODEL — BASE CASE (₹ LAKH)</t>
  </si>
  <si>
    <t>10-year build-up, Year 1 = launch year</t>
  </si>
  <si>
    <t>Operational Beds</t>
  </si>
  <si>
    <t>Occupancy %</t>
  </si>
  <si>
    <t>Patient Days</t>
  </si>
  <si>
    <t>ARPOBD (₹, blended IPD rate/occupied-bed-day)</t>
  </si>
  <si>
    <t>Gross IPD Revenue (₹ Lakh)</t>
  </si>
  <si>
    <t>Gross Total Revenue (₹ Lakh)</t>
  </si>
  <si>
    <t>Gross OPD+Diagnostics+Pharmacy Revenue (₹ Lakh)</t>
  </si>
  <si>
    <t>Less: Bad Debt / Discount / TPA Deduction (₹ Lakh)</t>
  </si>
  <si>
    <t>NET REVENUE (₹ Lakh)</t>
  </si>
  <si>
    <t>ARPOBD (₹9,500/occupied-bed-day, Year 1) is a Benchmark for a Tier-2/3 100-bed private multispecialty hospital, blending room rent, OT, ICU, nursing and consumable mark-up; it is not any specific hospital's actual tariff card. Occupancy and bed ramp-up are linked live to 02_Assumptions.</t>
  </si>
  <si>
    <t>PROFIT &amp; LOSS STATEMENT — BASE CASE (₹ LAKH)</t>
  </si>
  <si>
    <t>10-year projection</t>
  </si>
  <si>
    <t>Net Revenue (₹ Lakh)</t>
  </si>
  <si>
    <t>Total OPEX (₹ Lakh)</t>
  </si>
  <si>
    <t>Depreciation (₹ Lakh)</t>
  </si>
  <si>
    <t>EBIT (₹ Lakh)</t>
  </si>
  <si>
    <t>Interest on Term Loan (₹ Lakh)</t>
  </si>
  <si>
    <t>PBT (₹ Lakh)</t>
  </si>
  <si>
    <t>Tax (₹ Lakh)</t>
  </si>
  <si>
    <t>PAT (₹ Lakh)</t>
  </si>
  <si>
    <t>PAT Margin %</t>
  </si>
  <si>
    <t>Depreciation is straight-line on the Building+MEP share (62% of CAPEX) at the building rate, and the Medical Equipment+FF&amp;E share (29% of CAPEX) at the equipment rate — both from 02_Assumptions. Interest assumes equal annual principal repayment (reducing balance) over the loan tenure; Year 1 interest is highest and tapers to zero once the loan is repaid.</t>
  </si>
  <si>
    <t>CASH FLOW &amp; DEBT SERVICE — BASE CASE (₹ LAKH)</t>
  </si>
  <si>
    <t>Year 0 = CAPEX deployment; Year 1–10 = operations</t>
  </si>
  <si>
    <t>Yr 0</t>
  </si>
  <si>
    <t>CAPEX Outflow (₹ Lakh)</t>
  </si>
  <si>
    <t>Debt Drawdown (₹ Lakh)</t>
  </si>
  <si>
    <t>Equity Infusion (₹ Lakh)</t>
  </si>
  <si>
    <t>Add: Depreciation (₹ Lakh)</t>
  </si>
  <si>
    <t>Less: Principal Repayment (₹ Lakh)</t>
  </si>
  <si>
    <t>Net Cash Flow (₹ Lakh)</t>
  </si>
  <si>
    <t>Cumulative Cash Flow (₹ Lakh)</t>
  </si>
  <si>
    <t>DSCR (Debt Service Coverage Ratio)</t>
  </si>
  <si>
    <t>n/a</t>
  </si>
  <si>
    <t>DSCR = (PAT + Depreciation + Interest) ÷ (Principal + Interest) for that year. Lenders for hospital infrastructure projects typically look for an average DSCR of 1.4x–1.8x across the loan tenure; treat any year below ~1.2x as a flag for renegotiating tenure or phasing CAPEX further.</t>
  </si>
  <si>
    <t>BREAK-EVEN ANALYSIS — MATURE YEAR (YEAR 5)</t>
  </si>
  <si>
    <t>Contribution-margin based break-even, ₹ Lakh</t>
  </si>
  <si>
    <t>Net Revenue, Year 5 (₹ Lakh)</t>
  </si>
  <si>
    <t>Link</t>
  </si>
  <si>
    <t>Variable Cost, Year 5 — Consumables+Utilities+Marketing (₹ Lakh)</t>
  </si>
  <si>
    <t>Treated as volume-variable</t>
  </si>
  <si>
    <t>Fixed Cost, Year 5 — Staff+AMC+Admin (₹ Lakh)</t>
  </si>
  <si>
    <t>Treated as largely fixed in the short run</t>
  </si>
  <si>
    <t>Contribution Margin % (of Net Revenue)</t>
  </si>
  <si>
    <t>Calculated</t>
  </si>
  <si>
    <t>Break-Even Net Revenue (₹ Lakh)</t>
  </si>
  <si>
    <t>Fixed Cost ÷ Contribution Margin %</t>
  </si>
  <si>
    <t>Actual Net Revenue, Year 5 (₹ Lakh)</t>
  </si>
  <si>
    <t>Cross-check</t>
  </si>
  <si>
    <t>Margin of Safety (₹ Lakh)</t>
  </si>
  <si>
    <t>Margin of Safety %</t>
  </si>
  <si>
    <t>Occupancy at Break-Even (approx., %)</t>
  </si>
  <si>
    <t>Break-even revenue ÷ actual revenue × actual occupancy (linear approximation)</t>
  </si>
  <si>
    <t>This is a simplified contribution-margin break-even for management discussion, not a full activity-based costing exercise. The staff-cost line is treated as fixed because in a hospital, clinical staffing is sized to licensed capacity and shift rosters, not to daily patient volume.</t>
  </si>
  <si>
    <t>SENSITIVITY &amp; SCENARIO ANALYSIS</t>
  </si>
  <si>
    <t>Impact of key drivers on Year 5 EBITDA and 10-yr project economics</t>
  </si>
  <si>
    <t>A. YEAR-5 EBITDA SENSITIVITY TO OCCUPANCY (± vs Base Case Yr5 target)</t>
  </si>
  <si>
    <t>Occupancy Scenario</t>
  </si>
  <si>
    <t>Net Revenue (₹ Lakh, approx.)</t>
  </si>
  <si>
    <t>EBITDA (₹ Lakh, approx.)</t>
  </si>
  <si>
    <t>Downside (–15pp)</t>
  </si>
  <si>
    <t>Downside (–10pp)</t>
  </si>
  <si>
    <t>Base Case</t>
  </si>
  <si>
    <t>Base Case row anchors to 12_Revenue / 15_Break_Even live values</t>
  </si>
  <si>
    <t>Upside (+10pp)</t>
  </si>
  <si>
    <t>Upside (+15pp)</t>
  </si>
  <si>
    <t>B. CAPEX SCENARIO COMPARISON (LEAN / BASE / UPPER)</t>
  </si>
  <si>
    <t>Lean Case</t>
  </si>
  <si>
    <t>Upper Case</t>
  </si>
  <si>
    <t>Total CAPEX (₹ Cr)</t>
  </si>
  <si>
    <t>Approx. Year-5 EBITDA (₹ Lakh) — scaled by relative equipment/capacity intensity</t>
  </si>
  <si>
    <t>Directional Payback Period (years, EBITDA-based, illustrative)</t>
  </si>
  <si>
    <t>Lean/Upper Year-5 EBITDA figures are directional scaling (not fully re-modelled P&amp;Ls) reflecting that a leaner CAPEX build implies fewer high-end service lines (e.g. deferred MRI/Cath Lab) while an upper-case build supports faster service-line expansion and a modestly higher revenue ceiling. For a bank-grade appraisal, each case should be independently modelled in 10_CAPEX through 14_Cash_Flow.</t>
  </si>
  <si>
    <t>OPERATIONAL KPI DASHBOARD (TARGETS)</t>
  </si>
  <si>
    <t>Mature-year (Year 5) operating targets</t>
  </si>
  <si>
    <t>KPI</t>
  </si>
  <si>
    <t>Target</t>
  </si>
  <si>
    <t>Industry Benchmark Range</t>
  </si>
  <si>
    <t>Average Occupancy Rate</t>
  </si>
  <si>
    <t>55%–70%</t>
  </si>
  <si>
    <t>Mature-year target; below 50% signals demand-generation gap</t>
  </si>
  <si>
    <t>3.5–4.5 days</t>
  </si>
  <si>
    <t>Case-mix dependent</t>
  </si>
  <si>
    <t>Bed Turnover Ratio</t>
  </si>
  <si>
    <t>45–60 times/bed/yr</t>
  </si>
  <si>
    <t>OPD to IPD Conversion Ratio</t>
  </si>
  <si>
    <t>6%–10%</t>
  </si>
  <si>
    <t>OT Utilisation Rate</t>
  </si>
  <si>
    <t>60%–75%</t>
  </si>
  <si>
    <t>Assumption — scheduled OT hours used / available OT hours</t>
  </si>
  <si>
    <t>ICU Occupancy Rate</t>
  </si>
  <si>
    <t>65%–80%</t>
  </si>
  <si>
    <t>Emergency Department Turnaround Time (median)</t>
  </si>
  <si>
    <t>&lt; 2 hours</t>
  </si>
  <si>
    <t>1.5–3 hours</t>
  </si>
  <si>
    <t>Door-to-decision benchmark</t>
  </si>
  <si>
    <t>Patient Satisfaction Score (target)</t>
  </si>
  <si>
    <t>80%–90%</t>
  </si>
  <si>
    <t>Assumption — CSAT survey target</t>
  </si>
  <si>
    <t>Staff Attrition Rate (clinical, annual)</t>
  </si>
  <si>
    <t>10%–18% (hill-state)</t>
  </si>
  <si>
    <t>Retention risk flagged in 08_Department_Planning/Manpower notes</t>
  </si>
  <si>
    <t>Revenue per Occupied Bed Day (Year 5, ₹)</t>
  </si>
  <si>
    <t>₹8,000–₹14,000 (Tier-2/3)</t>
  </si>
  <si>
    <t>EBITDA Margin (Year 5)</t>
  </si>
  <si>
    <t>15%–22% (mature)</t>
  </si>
  <si>
    <t>Model shows a longer ramp — see 13_P&amp;L narrative</t>
  </si>
  <si>
    <t>PATIENT FLOW MAP</t>
  </si>
  <si>
    <t>OPD-to-discharge journey and Emergency pathway</t>
  </si>
  <si>
    <t>A. OPD → ADMISSION PATHWAY</t>
  </si>
  <si>
    <t>Registration &amp; Triage</t>
  </si>
  <si>
    <t>Patient registers at front desk / online appointment; vitals &amp; triage nurse assessment</t>
  </si>
  <si>
    <t>OPD Consultation</t>
  </si>
  <si>
    <t>Consultant evaluates; orders diagnostics if required</t>
  </si>
  <si>
    <t>Diagnostics</t>
  </si>
  <si>
    <t>Lab / imaging performed; results routed to consultant via HIS</t>
  </si>
  <si>
    <t>Clinical Decision</t>
  </si>
  <si>
    <t>Consultant reviews results — discharge with prescription, follow-up, or admit</t>
  </si>
  <si>
    <t>Admission (if required)</t>
  </si>
  <si>
    <t>Bed allotment via HIS bed-management module; pre-admission counselling &amp; billing estimate</t>
  </si>
  <si>
    <t>IPD Care</t>
  </si>
  <si>
    <t>Ward/ICU care, nursing rounds, consultant rounds, daily progress notes in EMR</t>
  </si>
  <si>
    <t>Discharge Planning</t>
  </si>
  <si>
    <t>Discharge summary, medication reconciliation, follow-up appointment, billing settlement</t>
  </si>
  <si>
    <t>Post-Discharge Follow-up</t>
  </si>
  <si>
    <t>Tele-follow-up call / OPD review appointment; feedback/CSAT survey</t>
  </si>
  <si>
    <t>B. EMERGENCY PATHWAY</t>
  </si>
  <si>
    <t>Arrival &amp; Triage</t>
  </si>
  <si>
    <t>Colour-coded triage (Red/Yellow/Green) within 5 minutes of arrival</t>
  </si>
  <si>
    <t>Resuscitation / Stabilisation</t>
  </si>
  <si>
    <t>Immediate stabilisation for Red-category patients</t>
  </si>
  <si>
    <t>Clinical Assessment</t>
  </si>
  <si>
    <t>Duty doctor assessment, diagnostics ordered on priority basis</t>
  </si>
  <si>
    <t>Disposition Decision</t>
  </si>
  <si>
    <t>Discharge, ICU admission, ward admission, or transfer-out (if beyond facility capability)</t>
  </si>
  <si>
    <t>Admission / Transfer</t>
  </si>
  <si>
    <t>Bed allotment or coordinated transfer to a higher-centre with documentation</t>
  </si>
  <si>
    <t>This flow map is the basis for the swimlane process diagram in the Operations SOP document and for the OPD/Emergency KPIs tracked in the Analytics sheets.</t>
  </si>
  <si>
    <t>NABH ACCREDITATION READINESS TRACKER</t>
  </si>
  <si>
    <t>10 NABH chapters — self-assessed readiness stage for a greenfield hospital</t>
  </si>
  <si>
    <t>Code</t>
  </si>
  <si>
    <t>NABH Chapter</t>
  </si>
  <si>
    <t>Target Readiness (by launch)</t>
  </si>
  <si>
    <t>Key Actions</t>
  </si>
  <si>
    <t>AAC</t>
  </si>
  <si>
    <t>Access, Assessment &amp; Continuity of Care</t>
  </si>
  <si>
    <t>In Progress</t>
  </si>
  <si>
    <t>Standardise triage, assessment formats and referral/transfer protocols</t>
  </si>
  <si>
    <t>COP</t>
  </si>
  <si>
    <t>Care of Patients</t>
  </si>
  <si>
    <t>Clinical protocols, informed consent formats, high-risk patient identification</t>
  </si>
  <si>
    <t>MOM</t>
  </si>
  <si>
    <t>Management of Medication</t>
  </si>
  <si>
    <t>Planned</t>
  </si>
  <si>
    <t>Drug formulary, high-alert medication protocol, pharmacy verification workflow</t>
  </si>
  <si>
    <t>PRE</t>
  </si>
  <si>
    <t>Patient Rights &amp; Education</t>
  </si>
  <si>
    <t>Patient charter, grievance redressal, health education material</t>
  </si>
  <si>
    <t>HIC</t>
  </si>
  <si>
    <t>Hospital Infection Control</t>
  </si>
  <si>
    <t>Infection control committee, hand-hygiene audits, biomedical waste SOP</t>
  </si>
  <si>
    <t>PSQ</t>
  </si>
  <si>
    <t>Patient Safety &amp; Quality Improvement</t>
  </si>
  <si>
    <t>Incident reporting system, quality indicators dashboard (links to Analytics sheets)</t>
  </si>
  <si>
    <t>ROM</t>
  </si>
  <si>
    <t>Responsibilities of Management</t>
  </si>
  <si>
    <t>Governance structure, policy approval workflow, budgeting cycle</t>
  </si>
  <si>
    <t>FMS</t>
  </si>
  <si>
    <t>Facility Management &amp; Safety</t>
  </si>
  <si>
    <t>Fire-NOC, disaster management plan, biomedical equipment maintenance schedule</t>
  </si>
  <si>
    <t>HRM</t>
  </si>
  <si>
    <t>Human Resource Management</t>
  </si>
  <si>
    <t>Credentialing &amp; privileging, induction &amp; CME tracking, performance appraisal</t>
  </si>
  <si>
    <t>IMS</t>
  </si>
  <si>
    <t>Information Management System</t>
  </si>
  <si>
    <t>HIS/EMR rollout, medical record retention policy, data backup &amp; security</t>
  </si>
  <si>
    <t>Standard used per NABH's public 10-chapter framework naming convention (AAC through IMS). Readiness staging (In Progress/Planned) is the project team's own planning judgement for a hypothetical greenfield hospital, not an actual NABH assessment or certification status.</t>
  </si>
  <si>
    <t>COMPETITOR BENCHMARKING</t>
  </si>
  <si>
    <t>Positioning vs. key players in and beyond the corridor</t>
  </si>
  <si>
    <t>Dimension</t>
  </si>
  <si>
    <t>Fortis Kangra (Private)</t>
  </si>
  <si>
    <t>RPGMC Tanda (Govt. Tertiary)</t>
  </si>
  <si>
    <t>Max/Fortis Chandigarh-Delhi (Out-of-state Referral)</t>
  </si>
  <si>
    <t>Hospital 360 (Proposed)</t>
  </si>
  <si>
    <t>Approx. bed strength</t>
  </si>
  <si>
    <t>~100</t>
  </si>
  <si>
    <t>~950</t>
  </si>
  <si>
    <t>300–1000+</t>
  </si>
  <si>
    <t>100 (licensed), 78 at launch</t>
  </si>
  <si>
    <t>Positioning</t>
  </si>
  <si>
    <t>Private secondary/tertiary care in-corridor</t>
  </si>
  <si>
    <t>Public tertiary teaching hospital, high volume, budget-priced</t>
  </si>
  <si>
    <t>Premium tertiary/quaternary, long travel for local patients</t>
  </si>
  <si>
    <t>Trusted private multispecialty with NABH-oriented quality, local accessibility</t>
  </si>
  <si>
    <t>Price point</t>
  </si>
  <si>
    <t>Mid-to-premium private pricing</t>
  </si>
  <si>
    <t>Low-cost/subsidised</t>
  </si>
  <si>
    <t>Premium, plus travel &amp; stay cost for patients</t>
  </si>
  <si>
    <t>Mid-market — positioned between Govt. and out-of-state premium</t>
  </si>
  <si>
    <t>Key strength</t>
  </si>
  <si>
    <t>Established private brand, already in-market</t>
  </si>
  <si>
    <t>Scale, subsidised cost, academic backing</t>
  </si>
  <si>
    <t>Advanced tertiary/quaternary capability</t>
  </si>
  <si>
    <t>Local accessibility + tourism-linked wellness + faster access to advanced diagnostics than Govt.</t>
  </si>
  <si>
    <t>Key gap it can address</t>
  </si>
  <si>
    <t>Long wait times, capacity strain, limited private-room comfort</t>
  </si>
  <si>
    <t>Distance, cost, travel burden for local families</t>
  </si>
  <si>
    <t>Reduces 'travel to Chandigarh/Delhi' need for mid-complexity tertiary care</t>
  </si>
  <si>
    <t>Strategic response for Hospital 360</t>
  </si>
  <si>
    <t>Differentiate on turnaround time, comfort, patient experience</t>
  </si>
  <si>
    <t>Differentiate on speed of access, private-room comfort, service consistency</t>
  </si>
  <si>
    <t>Position as the 'first stop' for tertiary care, referring upward only for quaternary/super-specialised cases</t>
  </si>
  <si>
    <t>Bed-strength and presence of Fortis Kangra and RPGMC Tanda are Actual Public Data (see Source_Register); positioning language, pricing tiers and strategic-response commentary are the project team's own competitive analysis, not published statements by these institutions.</t>
  </si>
  <si>
    <t>ANALYTICS — OPD FOOTFALL &amp; CASE-MIX</t>
  </si>
  <si>
    <t>⚠ SYNTHETIC DATA — generated for this academic model to demonstrate the analytics layer. Not real patient or hospital data.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</si>
  <si>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</si>
  <si>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</si>
  <si>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</si>
  <si>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</si>
  <si>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</si>
  <si>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</si>
  <si>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</si>
  <si>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</si>
  <si>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</si>
  <si>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</si>
  <si>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</si>
  <si>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</si>
  <si>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</si>
  <si>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</si>
  <si>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</si>
  <si>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</si>
  <si>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</si>
  <si>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</si>
  <si>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</si>
  <si>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</si>
  <si>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</si>
  <si>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Jan-2027</t>
  </si>
  <si>
    <t>Feb-2027</t>
  </si>
  <si>
    <t>Mar-2027</t>
  </si>
  <si>
    <t>Total OPD Footfall</t>
  </si>
  <si>
    <t>New Patients</t>
  </si>
  <si>
    <t>Follow-up Patients</t>
  </si>
  <si>
    <t>OPD→IPD Conversion Rate</t>
  </si>
  <si>
    <t>Department-wise OPD Share (avg. of period, synthetic)</t>
  </si>
  <si>
    <t>General Medicine</t>
  </si>
  <si>
    <t>Obstetrics &amp; Gynaecology</t>
  </si>
  <si>
    <t>Paediatrics</t>
  </si>
  <si>
    <t>Orthopaedics</t>
  </si>
  <si>
    <t>General Surgery</t>
  </si>
  <si>
    <t>ENT/Ophthalmology</t>
  </si>
  <si>
    <t>Skin/Dermatology</t>
  </si>
  <si>
    <t>Others</t>
  </si>
  <si>
    <t>ANALYTICS — IPD ADMISSIONS &amp; ALOS</t>
  </si>
  <si>
    <t>IPD Admissions</t>
  </si>
  <si>
    <t>ALOS (days)</t>
  </si>
  <si>
    <t>30-Day Readmission Rate</t>
  </si>
  <si>
    <t>ANALYTICS — EMERGENCY &amp; OT UTILISATION</t>
  </si>
  <si>
    <t>Emergency Visits</t>
  </si>
  <si>
    <t>ER→Admission Rate</t>
  </si>
  <si>
    <t>OT Cases Performed</t>
  </si>
  <si>
    <t>ANALYTICS — DIAGNOSTICS &amp; PHARMACY</t>
  </si>
  <si>
    <t>Lab Tests Performed</t>
  </si>
  <si>
    <t>Imaging Studies Performed</t>
  </si>
  <si>
    <t>Pharmacy Prescriptions Filled</t>
  </si>
  <si>
    <t>Avg Lab TAT (hours)</t>
  </si>
  <si>
    <t>ANALYTICS — BED OCCUPANCY BY WARD</t>
  </si>
  <si>
    <t>General Ward Occupancy</t>
  </si>
  <si>
    <t>ICU/HDU Occupancy</t>
  </si>
  <si>
    <t>Maternity Occupancy</t>
  </si>
  <si>
    <t>Blended Occupancy</t>
  </si>
  <si>
    <t>ANALYTICS — MONTHLY REVENUE BY STREAM</t>
  </si>
  <si>
    <t>IPD Revenue (₹ Lakh)</t>
  </si>
  <si>
    <t>OPD Revenue (₹ Lakh)</t>
  </si>
  <si>
    <t>Diagnostics Revenue (₹ Lakh)</t>
  </si>
  <si>
    <t>Pharmacy Revenue (₹ Lakh)</t>
  </si>
  <si>
    <t>Total Monthly Revenue (₹ Lakh)</t>
  </si>
  <si>
    <t>ANALYTICS — QUALITY &amp; SAFETY INDICATORS</t>
  </si>
  <si>
    <t>Hospital-Acquired Infection Rate (per 1,000 patient-days)</t>
  </si>
  <si>
    <t>Patient Fall Rate (per 1,000 patient-days)</t>
  </si>
  <si>
    <t>Medication Error Rate (per 1,000 doses)</t>
  </si>
  <si>
    <t>Patient Satisfaction Score (CSAT, %)</t>
  </si>
  <si>
    <t>ANALYTICS — HR &amp; WORKFORCE INDICATORS</t>
  </si>
  <si>
    <t>Total Headcount</t>
  </si>
  <si>
    <t>Monthly Attrition Rate</t>
  </si>
  <si>
    <t>Vacancy Rate</t>
  </si>
  <si>
    <t>Avg Training Hours/Employee</t>
  </si>
  <si>
    <t>DATA DICTIONARY &amp; STAR-SCHEMA NOTES</t>
  </si>
  <si>
    <t>For the Power BI / analytics layer built on sheets 21–28</t>
  </si>
  <si>
    <t>FACT TABLES</t>
  </si>
  <si>
    <t>Table</t>
  </si>
  <si>
    <t>Grain</t>
  </si>
  <si>
    <t>Key Measures</t>
  </si>
  <si>
    <t>Source Sheet</t>
  </si>
  <si>
    <t>Fact_OPD</t>
  </si>
  <si>
    <t>Month</t>
  </si>
  <si>
    <t>Footfall, New/Follow-up split, Conversion Rate</t>
  </si>
  <si>
    <t>21_Analytics_OPD</t>
  </si>
  <si>
    <t>Fact_IPD</t>
  </si>
  <si>
    <t>Admissions, ALOS, Patient Days, Readmission Rate</t>
  </si>
  <si>
    <t>22_Analytics_IPD</t>
  </si>
  <si>
    <t>Fact_Emergency_OT</t>
  </si>
  <si>
    <t>ER Visits, Admission Rate, OT Cases, OT Utilisation</t>
  </si>
  <si>
    <t>23_Analytics_Emergency_OT</t>
  </si>
  <si>
    <t>Fact_Diagnostics_Pharmacy</t>
  </si>
  <si>
    <t>Lab Tests, Imaging Studies, Rx Filled, Lab TAT</t>
  </si>
  <si>
    <t>24_Analytics_Diag_Pharmacy</t>
  </si>
  <si>
    <t>Fact_Bed_Occupancy</t>
  </si>
  <si>
    <t>Month × Ward</t>
  </si>
  <si>
    <t>Occupancy % by ward, Blended Occupancy</t>
  </si>
  <si>
    <t>25_Analytics_Beds_Occupancy</t>
  </si>
  <si>
    <t>Fact_Revenue_Monthly</t>
  </si>
  <si>
    <t>Month × Revenue Stream</t>
  </si>
  <si>
    <t>IPD/OPD/Diagnostics/Pharmacy Revenue (₹ Lakh)</t>
  </si>
  <si>
    <t>26_Analytics_Revenue</t>
  </si>
  <si>
    <t>Fact_Quality</t>
  </si>
  <si>
    <t>HAI Rate, Fall Rate, Medication Error Rate, CSAT</t>
  </si>
  <si>
    <t>27_Analytics_Quality</t>
  </si>
  <si>
    <t>Fact_HR</t>
  </si>
  <si>
    <t>Headcount, Attrition Rate, Vacancy Rate, Training Hours</t>
  </si>
  <si>
    <t>28_Analytics_HR</t>
  </si>
  <si>
    <t>DIMENSION TABLES</t>
  </si>
  <si>
    <t>Attributes</t>
  </si>
  <si>
    <t>Dim_Date</t>
  </si>
  <si>
    <t>Month, Year, Fiscal Year, Phase (Launch/Stabilisation/Mature)</t>
  </si>
  <si>
    <t>Dim_Department</t>
  </si>
  <si>
    <t>Department Name, Clinical/Support flag, Phase Introduced</t>
  </si>
  <si>
    <t>Dim_Ward</t>
  </si>
  <si>
    <t>Ward Name, Bed Category, Licensed Beds</t>
  </si>
  <si>
    <t>Dim_Revenue_Stream</t>
  </si>
  <si>
    <t>Stream Name (IPD/OPD/Diagnostics/Pharmacy)</t>
  </si>
  <si>
    <t>This star schema (Fact tables 21–28 + Dim_Date/Department/Ward/Revenue_Stream) is the recommended model to load into Power BI Desktop: import each Analytics sheet as a Fact table, build the four Dim tables from their respective columns, then relate on Month/Department/Ward/Stream. See the accompanying Hospital_360_Dashboard.html for a working example of the resulting KPI dashboard, since Power BI Desktop itself is not available in this environment to produce a .pbix file directly.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</si>
</sst>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&quot; Cr&quot;"/>
    <numFmt numFmtId="165" formatCode="0.0%"/>
    <numFmt numFmtId="166" formatCode="#,##0.0"/>
    <numFmt numFmtId="167" formatCode="0.00&quot;x&quot;"/>
    <numFmt numFmtId="168" formatCode="#,##0.00&quot; Cr&quot;"/>
  </numFmts>
  <fonts count="13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i/>
      <sz val="11"/>
      <color rgb="FF595959"/>
      <name val="Arial"/>
    </font>
    <font>
      <b/>
      <sz val="12"/>
      <name val="Arial"/>
    </font>
    <font>
      <b/>
      <sz val="10"/>
      <name val="Arial"/>
    </font>
    <font>
      <sz val="10"/>
      <color rgb="FF000000"/>
      <name val="Arial"/>
    </font>
    <font>
      <sz val="9"/>
      <name val="Arial"/>
    </font>
    <font>
      <i/>
      <sz val="9"/>
      <color rgb="FF7F7F7F"/>
      <name val="Arial"/>
    </font>
    <font>
      <b/>
      <sz val="11"/>
      <color rgb="FFFFFFFF"/>
      <name val="Arial"/>
    </font>
    <font>
      <sz val="10"/>
      <color rgb="FF0000FF"/>
      <name val="Arial"/>
    </font>
    <font>
      <i/>
      <sz val="9"/>
      <name val="Arial"/>
    </font>
    <font>
      <sz val="10"/>
      <color rgb="FF008000"/>
      <name val="Arial"/>
    </font>
    <font>
      <b/>
      <sz val="10"/>
      <color rgb="FFC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0" borderId="0" xfId="0" applyFont="1"/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8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6" fillId="8" borderId="1" xfId="0" applyFont="1" applyFill="1" applyBorder="1" applyAlignment="1">
      <alignment horizontal="center"/>
    </xf>
    <xf numFmtId="0" fontId="5" fillId="0" borderId="1" xfId="0" applyFont="1" applyBorder="1"/>
    <xf numFmtId="3" fontId="9" fillId="9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vertical="top" wrapText="1"/>
    </xf>
    <xf numFmtId="164" fontId="9" fillId="9" borderId="1" xfId="0" applyNumberFormat="1" applyFont="1" applyFill="1" applyBorder="1" applyAlignment="1">
      <alignment horizontal="center"/>
    </xf>
    <xf numFmtId="165" fontId="9" fillId="9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wrapText="1"/>
    </xf>
    <xf numFmtId="3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wrapText="1"/>
    </xf>
    <xf numFmtId="165" fontId="9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0" fontId="4" fillId="0" borderId="1" xfId="0" applyFont="1" applyBorder="1"/>
    <xf numFmtId="0" fontId="0" fillId="0" borderId="1" xfId="0" applyBorder="1"/>
    <xf numFmtId="166" fontId="5" fillId="0" borderId="1" xfId="0" applyNumberFormat="1" applyFont="1" applyBorder="1" applyAlignment="1">
      <alignment horizontal="center" wrapText="1"/>
    </xf>
    <xf numFmtId="166" fontId="9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9" fillId="9" borderId="1" xfId="0" applyFont="1" applyFill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3" fontId="11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165" fontId="11" fillId="0" borderId="1" xfId="0" applyNumberFormat="1" applyFont="1" applyBorder="1" applyAlignment="1">
      <alignment horizontal="center"/>
    </xf>
    <xf numFmtId="3" fontId="5" fillId="0" borderId="1" xfId="0" applyNumberFormat="1" applyFont="1" applyBorder="1"/>
    <xf numFmtId="3" fontId="11" fillId="0" borderId="1" xfId="0" applyNumberFormat="1" applyFont="1" applyBorder="1"/>
    <xf numFmtId="167" fontId="4" fillId="0" borderId="1" xfId="0" applyNumberFormat="1" applyFont="1" applyBorder="1"/>
    <xf numFmtId="0" fontId="8" fillId="7" borderId="0" xfId="0" applyFont="1" applyFill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165" fontId="9" fillId="9" borderId="0" xfId="0" applyNumberFormat="1" applyFont="1" applyFill="1"/>
    <xf numFmtId="168" fontId="4" fillId="0" borderId="1" xfId="0" applyNumberFormat="1" applyFont="1" applyBorder="1" applyAlignment="1">
      <alignment horizontal="center"/>
    </xf>
    <xf numFmtId="165" fontId="4" fillId="0" borderId="0" xfId="0" applyNumberFormat="1" applyFont="1"/>
    <xf numFmtId="168" fontId="5" fillId="0" borderId="1" xfId="0" applyNumberFormat="1" applyFont="1" applyBorder="1"/>
    <xf numFmtId="165" fontId="5" fillId="0" borderId="1" xfId="0" applyNumberFormat="1" applyFont="1" applyBorder="1"/>
    <xf numFmtId="0" fontId="8" fillId="7" borderId="1" xfId="0" applyFont="1" applyFill="1" applyBorder="1" applyAlignment="1">
      <alignment horizontal="center"/>
    </xf>
    <xf numFmtId="166" fontId="9" fillId="9" borderId="1" xfId="0" applyNumberFormat="1" applyFont="1" applyFill="1" applyBorder="1" applyAlignment="1">
      <alignment horizontal="center"/>
    </xf>
    <xf numFmtId="166" fontId="4" fillId="6" borderId="1" xfId="0" applyNumberFormat="1" applyFont="1" applyFill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wrapText="1"/>
    </xf>
    <xf numFmtId="166" fontId="0" fillId="0" borderId="1" xfId="0" applyNumberForma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0" xfId="0" applyFont="1" applyAlignment="1">
      <alignment vertical="top" wrapText="1"/>
    </xf>
    <xf numFmtId="0" fontId="0" fillId="0" borderId="0" xfId="0"/>
    <xf numFmtId="0" fontId="2" fillId="0" borderId="0" xfId="0" applyFont="1"/>
    <xf numFmtId="0" fontId="1" fillId="0" borderId="0" xfId="0" applyFont="1"/>
    <xf numFmtId="0" fontId="4" fillId="6" borderId="0" xfId="0" applyFont="1" applyFill="1" applyAlignment="1">
      <alignment vertical="center" indent="1"/>
    </xf>
    <xf numFmtId="0" fontId="5" fillId="0" borderId="1" xfId="0" applyFont="1" applyBorder="1" applyAlignment="1">
      <alignment vertical="top" wrapText="1"/>
    </xf>
    <xf numFmtId="0" fontId="8" fillId="7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2" fillId="10" borderId="0" xfId="0" applyFont="1" applyFill="1" applyAlignment="1">
      <alignment horizontal="center" vertical="center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OPD Footfall Trend (Synthetic)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'21_Analytics_OPD'!$B$3:$Y$3</c:f>
              <c:strCache>
                <c:ptCount val="24"/>
                <c:pt idx="0">
                  <c:v>Apr-2025</c:v>
                </c:pt>
                <c:pt idx="1">
                  <c:v>May-2025</c:v>
                </c:pt>
                <c:pt idx="2">
                  <c:v>Jun-2025</c:v>
                </c:pt>
                <c:pt idx="3">
                  <c:v>Jul-2025</c:v>
                </c:pt>
                <c:pt idx="4">
                  <c:v>Aug-2025</c:v>
                </c:pt>
                <c:pt idx="5">
                  <c:v>Sep-2025</c:v>
                </c:pt>
                <c:pt idx="6">
                  <c:v>Oct-2025</c:v>
                </c:pt>
                <c:pt idx="7">
                  <c:v>Nov-2025</c:v>
                </c:pt>
                <c:pt idx="8">
                  <c:v>Dec-2025</c:v>
                </c:pt>
                <c:pt idx="9">
                  <c:v>Jan-2026</c:v>
                </c:pt>
                <c:pt idx="10">
                  <c:v>Feb-2026</c:v>
                </c:pt>
                <c:pt idx="11">
                  <c:v>Mar-2026</c:v>
                </c:pt>
                <c:pt idx="12">
                  <c:v>Apr-2026</c:v>
                </c:pt>
                <c:pt idx="13">
                  <c:v>May-2026</c:v>
                </c:pt>
                <c:pt idx="14">
                  <c:v>Jun-2026</c:v>
                </c:pt>
                <c:pt idx="15">
                  <c:v>Jul-2026</c:v>
                </c:pt>
                <c:pt idx="16">
                  <c:v>Aug-2026</c:v>
                </c:pt>
                <c:pt idx="17">
                  <c:v>Sep-2026</c:v>
                </c:pt>
                <c:pt idx="18">
                  <c:v>Oct-2026</c:v>
                </c:pt>
                <c:pt idx="19">
                  <c:v>Nov-2026</c:v>
                </c:pt>
                <c:pt idx="20">
                  <c:v>Dec-2026</c:v>
                </c:pt>
                <c:pt idx="21">
                  <c:v>Jan-2027</c:v>
                </c:pt>
                <c:pt idx="22">
                  <c:v>Feb-2027</c:v>
                </c:pt>
                <c:pt idx="23">
                  <c:v>Mar-2027</c:v>
                </c:pt>
              </c:strCache>
            </c:strRef>
          </c:cat>
          <c:val>
            <c:numRef>
              <c:f>'21_Analytics_OPD'!$B$4:$Y$4</c:f>
              <c:numCache>
                <c:formatCode>#,##0</c:formatCode>
                <c:ptCount val="24"/>
                <c:pt idx="0">
                  <c:v>6208.4</c:v>
                </c:pt>
                <c:pt idx="1">
                  <c:v>5978.1</c:v>
                </c:pt>
                <c:pt idx="2">
                  <c:v>5923.8</c:v>
                </c:pt>
                <c:pt idx="3">
                  <c:v>5831.1</c:v>
                </c:pt>
                <c:pt idx="4">
                  <c:v>6106.3</c:v>
                </c:pt>
                <c:pt idx="5">
                  <c:v>6343.5</c:v>
                </c:pt>
                <c:pt idx="6">
                  <c:v>6740</c:v>
                </c:pt>
                <c:pt idx="7">
                  <c:v>6563.9</c:v>
                </c:pt>
                <c:pt idx="8">
                  <c:v>6625.9</c:v>
                </c:pt>
                <c:pt idx="9">
                  <c:v>6406.6</c:v>
                </c:pt>
                <c:pt idx="10">
                  <c:v>6319.3</c:v>
                </c:pt>
                <c:pt idx="11">
                  <c:v>6436.9</c:v>
                </c:pt>
                <c:pt idx="12">
                  <c:v>6211.9</c:v>
                </c:pt>
                <c:pt idx="13">
                  <c:v>6106.9</c:v>
                </c:pt>
                <c:pt idx="14">
                  <c:v>6324.7</c:v>
                </c:pt>
                <c:pt idx="15">
                  <c:v>6470.9</c:v>
                </c:pt>
                <c:pt idx="16">
                  <c:v>6386.1</c:v>
                </c:pt>
                <c:pt idx="17">
                  <c:v>6565.3</c:v>
                </c:pt>
                <c:pt idx="18">
                  <c:v>6906.3</c:v>
                </c:pt>
                <c:pt idx="19">
                  <c:v>6675.3</c:v>
                </c:pt>
                <c:pt idx="20">
                  <c:v>7015.6</c:v>
                </c:pt>
                <c:pt idx="21">
                  <c:v>7284.6</c:v>
                </c:pt>
                <c:pt idx="22">
                  <c:v>7300.7</c:v>
                </c:pt>
                <c:pt idx="23">
                  <c:v>7184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742336"/>
        <c:axId val="196305664"/>
      </c:lineChart>
      <c:catAx>
        <c:axId val="195742336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305664"/>
        <c:crosses val="autoZero"/>
        <c:auto val="1"/>
        <c:lblAlgn val="ctr"/>
        <c:lblOffset val="100"/>
        <c:noMultiLvlLbl val="1"/>
      </c:catAx>
      <c:valAx>
        <c:axId val="196305664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Patients/month</a:t>
                </a:r>
              </a:p>
            </c:rich>
          </c:tx>
          <c:layout/>
          <c:overlay val="1"/>
        </c:title>
        <c:numFmt formatCode="#,##0" sourceLinked="1"/>
        <c:majorTickMark val="none"/>
        <c:minorTickMark val="none"/>
        <c:tickLblPos val="nextTo"/>
        <c:crossAx val="1957423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IPD Admissions Trend (Synthetic)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'22_Analytics_IPD'!$B$3:$Y$3</c:f>
              <c:strCache>
                <c:ptCount val="24"/>
                <c:pt idx="0">
                  <c:v>Apr-2025</c:v>
                </c:pt>
                <c:pt idx="1">
                  <c:v>May-2025</c:v>
                </c:pt>
                <c:pt idx="2">
                  <c:v>Jun-2025</c:v>
                </c:pt>
                <c:pt idx="3">
                  <c:v>Jul-2025</c:v>
                </c:pt>
                <c:pt idx="4">
                  <c:v>Aug-2025</c:v>
                </c:pt>
                <c:pt idx="5">
                  <c:v>Sep-2025</c:v>
                </c:pt>
                <c:pt idx="6">
                  <c:v>Oct-2025</c:v>
                </c:pt>
                <c:pt idx="7">
                  <c:v>Nov-2025</c:v>
                </c:pt>
                <c:pt idx="8">
                  <c:v>Dec-2025</c:v>
                </c:pt>
                <c:pt idx="9">
                  <c:v>Jan-2026</c:v>
                </c:pt>
                <c:pt idx="10">
                  <c:v>Feb-2026</c:v>
                </c:pt>
                <c:pt idx="11">
                  <c:v>Mar-2026</c:v>
                </c:pt>
                <c:pt idx="12">
                  <c:v>Apr-2026</c:v>
                </c:pt>
                <c:pt idx="13">
                  <c:v>May-2026</c:v>
                </c:pt>
                <c:pt idx="14">
                  <c:v>Jun-2026</c:v>
                </c:pt>
                <c:pt idx="15">
                  <c:v>Jul-2026</c:v>
                </c:pt>
                <c:pt idx="16">
                  <c:v>Aug-2026</c:v>
                </c:pt>
                <c:pt idx="17">
                  <c:v>Sep-2026</c:v>
                </c:pt>
                <c:pt idx="18">
                  <c:v>Oct-2026</c:v>
                </c:pt>
                <c:pt idx="19">
                  <c:v>Nov-2026</c:v>
                </c:pt>
                <c:pt idx="20">
                  <c:v>Dec-2026</c:v>
                </c:pt>
                <c:pt idx="21">
                  <c:v>Jan-2027</c:v>
                </c:pt>
                <c:pt idx="22">
                  <c:v>Feb-2027</c:v>
                </c:pt>
                <c:pt idx="23">
                  <c:v>Mar-2027</c:v>
                </c:pt>
              </c:strCache>
            </c:strRef>
          </c:cat>
          <c:val>
            <c:numRef>
              <c:f>'22_Analytics_IPD'!$B$4:$Y$4</c:f>
              <c:numCache>
                <c:formatCode>#,##0</c:formatCode>
                <c:ptCount val="24"/>
                <c:pt idx="0">
                  <c:v>302.5</c:v>
                </c:pt>
                <c:pt idx="1">
                  <c:v>300.2</c:v>
                </c:pt>
                <c:pt idx="2">
                  <c:v>313.2</c:v>
                </c:pt>
                <c:pt idx="3">
                  <c:v>314.8</c:v>
                </c:pt>
                <c:pt idx="4">
                  <c:v>339.6</c:v>
                </c:pt>
                <c:pt idx="5">
                  <c:v>344.6</c:v>
                </c:pt>
                <c:pt idx="6">
                  <c:v>340.9</c:v>
                </c:pt>
                <c:pt idx="7">
                  <c:v>336.4</c:v>
                </c:pt>
                <c:pt idx="8">
                  <c:v>345.9</c:v>
                </c:pt>
                <c:pt idx="9">
                  <c:v>342.2</c:v>
                </c:pt>
                <c:pt idx="10">
                  <c:v>352.8</c:v>
                </c:pt>
                <c:pt idx="11">
                  <c:v>377.7</c:v>
                </c:pt>
                <c:pt idx="12">
                  <c:v>380.7</c:v>
                </c:pt>
                <c:pt idx="13">
                  <c:v>375.8</c:v>
                </c:pt>
                <c:pt idx="14">
                  <c:v>405.6</c:v>
                </c:pt>
                <c:pt idx="15">
                  <c:v>414.1</c:v>
                </c:pt>
                <c:pt idx="16">
                  <c:v>404.1</c:v>
                </c:pt>
                <c:pt idx="17">
                  <c:v>391.9</c:v>
                </c:pt>
                <c:pt idx="18">
                  <c:v>382.2</c:v>
                </c:pt>
                <c:pt idx="19">
                  <c:v>395.6</c:v>
                </c:pt>
                <c:pt idx="20">
                  <c:v>416.6</c:v>
                </c:pt>
                <c:pt idx="21">
                  <c:v>421.4</c:v>
                </c:pt>
                <c:pt idx="22">
                  <c:v>410.3</c:v>
                </c:pt>
                <c:pt idx="23">
                  <c:v>413.2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10848"/>
        <c:axId val="196512768"/>
      </c:lineChart>
      <c:catAx>
        <c:axId val="196510848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512768"/>
        <c:crosses val="autoZero"/>
        <c:auto val="1"/>
        <c:lblAlgn val="ctr"/>
        <c:lblOffset val="100"/>
        <c:noMultiLvlLbl val="1"/>
      </c:catAx>
      <c:valAx>
        <c:axId val="19651276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Admissions/month</a:t>
                </a:r>
              </a:p>
            </c:rich>
          </c:tx>
          <c:layout/>
          <c:overlay val="1"/>
        </c:title>
        <c:numFmt formatCode="#,##0" sourceLinked="1"/>
        <c:majorTickMark val="none"/>
        <c:minorTickMark val="none"/>
        <c:tickLblPos val="nextTo"/>
        <c:crossAx val="196510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Emergency Visits Trend (Synthetic)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'23_Analytics_Emergency_OT'!$B$3:$Y$3</c:f>
              <c:strCache>
                <c:ptCount val="24"/>
                <c:pt idx="0">
                  <c:v>Apr-2025</c:v>
                </c:pt>
                <c:pt idx="1">
                  <c:v>May-2025</c:v>
                </c:pt>
                <c:pt idx="2">
                  <c:v>Jun-2025</c:v>
                </c:pt>
                <c:pt idx="3">
                  <c:v>Jul-2025</c:v>
                </c:pt>
                <c:pt idx="4">
                  <c:v>Aug-2025</c:v>
                </c:pt>
                <c:pt idx="5">
                  <c:v>Sep-2025</c:v>
                </c:pt>
                <c:pt idx="6">
                  <c:v>Oct-2025</c:v>
                </c:pt>
                <c:pt idx="7">
                  <c:v>Nov-2025</c:v>
                </c:pt>
                <c:pt idx="8">
                  <c:v>Dec-2025</c:v>
                </c:pt>
                <c:pt idx="9">
                  <c:v>Jan-2026</c:v>
                </c:pt>
                <c:pt idx="10">
                  <c:v>Feb-2026</c:v>
                </c:pt>
                <c:pt idx="11">
                  <c:v>Mar-2026</c:v>
                </c:pt>
                <c:pt idx="12">
                  <c:v>Apr-2026</c:v>
                </c:pt>
                <c:pt idx="13">
                  <c:v>May-2026</c:v>
                </c:pt>
                <c:pt idx="14">
                  <c:v>Jun-2026</c:v>
                </c:pt>
                <c:pt idx="15">
                  <c:v>Jul-2026</c:v>
                </c:pt>
                <c:pt idx="16">
                  <c:v>Aug-2026</c:v>
                </c:pt>
                <c:pt idx="17">
                  <c:v>Sep-2026</c:v>
                </c:pt>
                <c:pt idx="18">
                  <c:v>Oct-2026</c:v>
                </c:pt>
                <c:pt idx="19">
                  <c:v>Nov-2026</c:v>
                </c:pt>
                <c:pt idx="20">
                  <c:v>Dec-2026</c:v>
                </c:pt>
                <c:pt idx="21">
                  <c:v>Jan-2027</c:v>
                </c:pt>
                <c:pt idx="22">
                  <c:v>Feb-2027</c:v>
                </c:pt>
                <c:pt idx="23">
                  <c:v>Mar-2027</c:v>
                </c:pt>
              </c:strCache>
            </c:strRef>
          </c:cat>
          <c:val>
            <c:numRef>
              <c:f>'23_Analytics_Emergency_OT'!$B$4:$Y$4</c:f>
              <c:numCache>
                <c:formatCode>#,##0</c:formatCode>
                <c:ptCount val="24"/>
                <c:pt idx="0">
                  <c:v>954</c:v>
                </c:pt>
                <c:pt idx="1">
                  <c:v>930</c:v>
                </c:pt>
                <c:pt idx="2">
                  <c:v>949.2</c:v>
                </c:pt>
                <c:pt idx="3">
                  <c:v>994</c:v>
                </c:pt>
                <c:pt idx="4">
                  <c:v>969.2</c:v>
                </c:pt>
                <c:pt idx="5">
                  <c:v>958.7</c:v>
                </c:pt>
                <c:pt idx="6">
                  <c:v>1038.9000000000001</c:v>
                </c:pt>
                <c:pt idx="7">
                  <c:v>1074.4000000000001</c:v>
                </c:pt>
                <c:pt idx="8">
                  <c:v>1082.3</c:v>
                </c:pt>
                <c:pt idx="9">
                  <c:v>1100.9000000000001</c:v>
                </c:pt>
                <c:pt idx="10">
                  <c:v>1067</c:v>
                </c:pt>
                <c:pt idx="11">
                  <c:v>1046.4000000000001</c:v>
                </c:pt>
                <c:pt idx="12">
                  <c:v>1040.5</c:v>
                </c:pt>
                <c:pt idx="13">
                  <c:v>1067.9000000000001</c:v>
                </c:pt>
                <c:pt idx="14">
                  <c:v>1048</c:v>
                </c:pt>
                <c:pt idx="15">
                  <c:v>1026.5</c:v>
                </c:pt>
                <c:pt idx="16">
                  <c:v>984.9</c:v>
                </c:pt>
                <c:pt idx="17">
                  <c:v>1017.1</c:v>
                </c:pt>
                <c:pt idx="18">
                  <c:v>996.3</c:v>
                </c:pt>
                <c:pt idx="19">
                  <c:v>1065.0999999999999</c:v>
                </c:pt>
                <c:pt idx="20">
                  <c:v>1128.9000000000001</c:v>
                </c:pt>
                <c:pt idx="21">
                  <c:v>1088.8</c:v>
                </c:pt>
                <c:pt idx="22">
                  <c:v>1070.3</c:v>
                </c:pt>
                <c:pt idx="23">
                  <c:v>1108.8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33632"/>
        <c:axId val="196560384"/>
      </c:lineChart>
      <c:catAx>
        <c:axId val="196533632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560384"/>
        <c:crosses val="autoZero"/>
        <c:auto val="1"/>
        <c:lblAlgn val="ctr"/>
        <c:lblOffset val="100"/>
        <c:noMultiLvlLbl val="1"/>
      </c:catAx>
      <c:valAx>
        <c:axId val="196560384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Visits/month</a:t>
                </a:r>
              </a:p>
            </c:rich>
          </c:tx>
          <c:layout/>
          <c:overlay val="1"/>
        </c:title>
        <c:numFmt formatCode="#,##0" sourceLinked="1"/>
        <c:majorTickMark val="none"/>
        <c:minorTickMark val="none"/>
        <c:tickLblPos val="nextTo"/>
        <c:crossAx val="1965336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Lab Volume Trend (Synthetic)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'24_Analytics_Diag_Pharmacy'!$B$3:$Y$3</c:f>
              <c:strCache>
                <c:ptCount val="24"/>
                <c:pt idx="0">
                  <c:v>Apr-2025</c:v>
                </c:pt>
                <c:pt idx="1">
                  <c:v>May-2025</c:v>
                </c:pt>
                <c:pt idx="2">
                  <c:v>Jun-2025</c:v>
                </c:pt>
                <c:pt idx="3">
                  <c:v>Jul-2025</c:v>
                </c:pt>
                <c:pt idx="4">
                  <c:v>Aug-2025</c:v>
                </c:pt>
                <c:pt idx="5">
                  <c:v>Sep-2025</c:v>
                </c:pt>
                <c:pt idx="6">
                  <c:v>Oct-2025</c:v>
                </c:pt>
                <c:pt idx="7">
                  <c:v>Nov-2025</c:v>
                </c:pt>
                <c:pt idx="8">
                  <c:v>Dec-2025</c:v>
                </c:pt>
                <c:pt idx="9">
                  <c:v>Jan-2026</c:v>
                </c:pt>
                <c:pt idx="10">
                  <c:v>Feb-2026</c:v>
                </c:pt>
                <c:pt idx="11">
                  <c:v>Mar-2026</c:v>
                </c:pt>
                <c:pt idx="12">
                  <c:v>Apr-2026</c:v>
                </c:pt>
                <c:pt idx="13">
                  <c:v>May-2026</c:v>
                </c:pt>
                <c:pt idx="14">
                  <c:v>Jun-2026</c:v>
                </c:pt>
                <c:pt idx="15">
                  <c:v>Jul-2026</c:v>
                </c:pt>
                <c:pt idx="16">
                  <c:v>Aug-2026</c:v>
                </c:pt>
                <c:pt idx="17">
                  <c:v>Sep-2026</c:v>
                </c:pt>
                <c:pt idx="18">
                  <c:v>Oct-2026</c:v>
                </c:pt>
                <c:pt idx="19">
                  <c:v>Nov-2026</c:v>
                </c:pt>
                <c:pt idx="20">
                  <c:v>Dec-2026</c:v>
                </c:pt>
                <c:pt idx="21">
                  <c:v>Jan-2027</c:v>
                </c:pt>
                <c:pt idx="22">
                  <c:v>Feb-2027</c:v>
                </c:pt>
                <c:pt idx="23">
                  <c:v>Mar-2027</c:v>
                </c:pt>
              </c:strCache>
            </c:strRef>
          </c:cat>
          <c:val>
            <c:numRef>
              <c:f>'24_Analytics_Diag_Pharmacy'!$B$4:$Y$4</c:f>
              <c:numCache>
                <c:formatCode>#,##0</c:formatCode>
                <c:ptCount val="24"/>
                <c:pt idx="0">
                  <c:v>9078.2000000000007</c:v>
                </c:pt>
                <c:pt idx="1">
                  <c:v>9365.2000000000007</c:v>
                </c:pt>
                <c:pt idx="2">
                  <c:v>9581.2000000000007</c:v>
                </c:pt>
                <c:pt idx="3">
                  <c:v>10320.6</c:v>
                </c:pt>
                <c:pt idx="4">
                  <c:v>10154.4</c:v>
                </c:pt>
                <c:pt idx="5">
                  <c:v>10629.8</c:v>
                </c:pt>
                <c:pt idx="6">
                  <c:v>10513.2</c:v>
                </c:pt>
                <c:pt idx="7">
                  <c:v>10592.1</c:v>
                </c:pt>
                <c:pt idx="8">
                  <c:v>11020.3</c:v>
                </c:pt>
                <c:pt idx="9">
                  <c:v>10988.7</c:v>
                </c:pt>
                <c:pt idx="10">
                  <c:v>10976.9</c:v>
                </c:pt>
                <c:pt idx="11">
                  <c:v>11513.8</c:v>
                </c:pt>
                <c:pt idx="12">
                  <c:v>11205.4</c:v>
                </c:pt>
                <c:pt idx="13">
                  <c:v>11377</c:v>
                </c:pt>
                <c:pt idx="14">
                  <c:v>12232.6</c:v>
                </c:pt>
                <c:pt idx="15">
                  <c:v>13102.3</c:v>
                </c:pt>
                <c:pt idx="16">
                  <c:v>12826.7</c:v>
                </c:pt>
                <c:pt idx="17">
                  <c:v>12721.8</c:v>
                </c:pt>
                <c:pt idx="18">
                  <c:v>12680.4</c:v>
                </c:pt>
                <c:pt idx="19">
                  <c:v>13479.9</c:v>
                </c:pt>
                <c:pt idx="20">
                  <c:v>14229.4</c:v>
                </c:pt>
                <c:pt idx="21">
                  <c:v>14991.8</c:v>
                </c:pt>
                <c:pt idx="22">
                  <c:v>15127.3</c:v>
                </c:pt>
                <c:pt idx="23">
                  <c:v>14998.6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630400"/>
        <c:axId val="196648960"/>
      </c:lineChart>
      <c:catAx>
        <c:axId val="1966304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648960"/>
        <c:crosses val="autoZero"/>
        <c:auto val="1"/>
        <c:lblAlgn val="ctr"/>
        <c:lblOffset val="100"/>
        <c:noMultiLvlLbl val="1"/>
      </c:catAx>
      <c:valAx>
        <c:axId val="19664896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Tests/month</a:t>
                </a:r>
              </a:p>
            </c:rich>
          </c:tx>
          <c:layout/>
          <c:overlay val="1"/>
        </c:title>
        <c:numFmt formatCode="#,##0" sourceLinked="1"/>
        <c:majorTickMark val="none"/>
        <c:minorTickMark val="none"/>
        <c:tickLblPos val="nextTo"/>
        <c:crossAx val="196630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Blended Occupancy Trend (Synthetic)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'25_Analytics_Beds_Occupancy'!$B$3:$Y$3</c:f>
              <c:strCache>
                <c:ptCount val="24"/>
                <c:pt idx="0">
                  <c:v>Apr-2025</c:v>
                </c:pt>
                <c:pt idx="1">
                  <c:v>May-2025</c:v>
                </c:pt>
                <c:pt idx="2">
                  <c:v>Jun-2025</c:v>
                </c:pt>
                <c:pt idx="3">
                  <c:v>Jul-2025</c:v>
                </c:pt>
                <c:pt idx="4">
                  <c:v>Aug-2025</c:v>
                </c:pt>
                <c:pt idx="5">
                  <c:v>Sep-2025</c:v>
                </c:pt>
                <c:pt idx="6">
                  <c:v>Oct-2025</c:v>
                </c:pt>
                <c:pt idx="7">
                  <c:v>Nov-2025</c:v>
                </c:pt>
                <c:pt idx="8">
                  <c:v>Dec-2025</c:v>
                </c:pt>
                <c:pt idx="9">
                  <c:v>Jan-2026</c:v>
                </c:pt>
                <c:pt idx="10">
                  <c:v>Feb-2026</c:v>
                </c:pt>
                <c:pt idx="11">
                  <c:v>Mar-2026</c:v>
                </c:pt>
                <c:pt idx="12">
                  <c:v>Apr-2026</c:v>
                </c:pt>
                <c:pt idx="13">
                  <c:v>May-2026</c:v>
                </c:pt>
                <c:pt idx="14">
                  <c:v>Jun-2026</c:v>
                </c:pt>
                <c:pt idx="15">
                  <c:v>Jul-2026</c:v>
                </c:pt>
                <c:pt idx="16">
                  <c:v>Aug-2026</c:v>
                </c:pt>
                <c:pt idx="17">
                  <c:v>Sep-2026</c:v>
                </c:pt>
                <c:pt idx="18">
                  <c:v>Oct-2026</c:v>
                </c:pt>
                <c:pt idx="19">
                  <c:v>Nov-2026</c:v>
                </c:pt>
                <c:pt idx="20">
                  <c:v>Dec-2026</c:v>
                </c:pt>
                <c:pt idx="21">
                  <c:v>Jan-2027</c:v>
                </c:pt>
                <c:pt idx="22">
                  <c:v>Feb-2027</c:v>
                </c:pt>
                <c:pt idx="23">
                  <c:v>Mar-2027</c:v>
                </c:pt>
              </c:strCache>
            </c:strRef>
          </c:cat>
          <c:val>
            <c:numRef>
              <c:f>'25_Analytics_Beds_Occupancy'!$B$7:$Y$7</c:f>
              <c:numCache>
                <c:formatCode>0.0%</c:formatCode>
                <c:ptCount val="24"/>
                <c:pt idx="0">
                  <c:v>0.375</c:v>
                </c:pt>
                <c:pt idx="1">
                  <c:v>0.38600000000000001</c:v>
                </c:pt>
                <c:pt idx="2">
                  <c:v>0.39600000000000002</c:v>
                </c:pt>
                <c:pt idx="3">
                  <c:v>0.40799999999999997</c:v>
                </c:pt>
                <c:pt idx="4">
                  <c:v>0.438</c:v>
                </c:pt>
                <c:pt idx="5">
                  <c:v>0.439</c:v>
                </c:pt>
                <c:pt idx="6">
                  <c:v>0.442</c:v>
                </c:pt>
                <c:pt idx="7">
                  <c:v>0.46500000000000002</c:v>
                </c:pt>
                <c:pt idx="8">
                  <c:v>0.45500000000000002</c:v>
                </c:pt>
                <c:pt idx="9">
                  <c:v>0.50700000000000001</c:v>
                </c:pt>
                <c:pt idx="10">
                  <c:v>0.5</c:v>
                </c:pt>
                <c:pt idx="11">
                  <c:v>0.51</c:v>
                </c:pt>
                <c:pt idx="12">
                  <c:v>0.53200000000000003</c:v>
                </c:pt>
                <c:pt idx="13">
                  <c:v>0.54100000000000004</c:v>
                </c:pt>
                <c:pt idx="14">
                  <c:v>0.55800000000000005</c:v>
                </c:pt>
                <c:pt idx="15">
                  <c:v>0.55000000000000004</c:v>
                </c:pt>
                <c:pt idx="16">
                  <c:v>0.58599999999999997</c:v>
                </c:pt>
                <c:pt idx="17">
                  <c:v>0.56799999999999995</c:v>
                </c:pt>
                <c:pt idx="18">
                  <c:v>0.60199999999999998</c:v>
                </c:pt>
                <c:pt idx="19">
                  <c:v>0.622</c:v>
                </c:pt>
                <c:pt idx="20">
                  <c:v>0.64500000000000002</c:v>
                </c:pt>
                <c:pt idx="21">
                  <c:v>0.61899999999999999</c:v>
                </c:pt>
                <c:pt idx="22">
                  <c:v>0.627</c:v>
                </c:pt>
                <c:pt idx="23">
                  <c:v>0.65700000000000003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763648"/>
        <c:axId val="196765568"/>
      </c:lineChart>
      <c:catAx>
        <c:axId val="196763648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765568"/>
        <c:crosses val="autoZero"/>
        <c:auto val="1"/>
        <c:lblAlgn val="ctr"/>
        <c:lblOffset val="100"/>
        <c:noMultiLvlLbl val="1"/>
      </c:catAx>
      <c:valAx>
        <c:axId val="19676556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Occupancy %</a:t>
                </a:r>
              </a:p>
            </c:rich>
          </c:tx>
          <c:layout/>
          <c:overlay val="1"/>
        </c:title>
        <c:numFmt formatCode="0.0%" sourceLinked="1"/>
        <c:majorTickMark val="none"/>
        <c:minorTickMark val="none"/>
        <c:tickLblPos val="nextTo"/>
        <c:crossAx val="196763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Total Revenue Trend (Synthetic)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'26_Analytics_Revenue'!$B$3:$Y$3</c:f>
              <c:strCache>
                <c:ptCount val="24"/>
                <c:pt idx="0">
                  <c:v>Apr-2025</c:v>
                </c:pt>
                <c:pt idx="1">
                  <c:v>May-2025</c:v>
                </c:pt>
                <c:pt idx="2">
                  <c:v>Jun-2025</c:v>
                </c:pt>
                <c:pt idx="3">
                  <c:v>Jul-2025</c:v>
                </c:pt>
                <c:pt idx="4">
                  <c:v>Aug-2025</c:v>
                </c:pt>
                <c:pt idx="5">
                  <c:v>Sep-2025</c:v>
                </c:pt>
                <c:pt idx="6">
                  <c:v>Oct-2025</c:v>
                </c:pt>
                <c:pt idx="7">
                  <c:v>Nov-2025</c:v>
                </c:pt>
                <c:pt idx="8">
                  <c:v>Dec-2025</c:v>
                </c:pt>
                <c:pt idx="9">
                  <c:v>Jan-2026</c:v>
                </c:pt>
                <c:pt idx="10">
                  <c:v>Feb-2026</c:v>
                </c:pt>
                <c:pt idx="11">
                  <c:v>Mar-2026</c:v>
                </c:pt>
                <c:pt idx="12">
                  <c:v>Apr-2026</c:v>
                </c:pt>
                <c:pt idx="13">
                  <c:v>May-2026</c:v>
                </c:pt>
                <c:pt idx="14">
                  <c:v>Jun-2026</c:v>
                </c:pt>
                <c:pt idx="15">
                  <c:v>Jul-2026</c:v>
                </c:pt>
                <c:pt idx="16">
                  <c:v>Aug-2026</c:v>
                </c:pt>
                <c:pt idx="17">
                  <c:v>Sep-2026</c:v>
                </c:pt>
                <c:pt idx="18">
                  <c:v>Oct-2026</c:v>
                </c:pt>
                <c:pt idx="19">
                  <c:v>Nov-2026</c:v>
                </c:pt>
                <c:pt idx="20">
                  <c:v>Dec-2026</c:v>
                </c:pt>
                <c:pt idx="21">
                  <c:v>Jan-2027</c:v>
                </c:pt>
                <c:pt idx="22">
                  <c:v>Feb-2027</c:v>
                </c:pt>
                <c:pt idx="23">
                  <c:v>Mar-2027</c:v>
                </c:pt>
              </c:strCache>
            </c:strRef>
          </c:cat>
          <c:val>
            <c:numRef>
              <c:f>'26_Analytics_Revenue'!$B$8:$Y$8</c:f>
              <c:numCache>
                <c:formatCode>#,##0.0</c:formatCode>
                <c:ptCount val="24"/>
                <c:pt idx="0">
                  <c:v>152.30000000000001</c:v>
                </c:pt>
                <c:pt idx="1">
                  <c:v>153.80000000000001</c:v>
                </c:pt>
                <c:pt idx="2">
                  <c:v>161.39999999999998</c:v>
                </c:pt>
                <c:pt idx="3">
                  <c:v>166.3</c:v>
                </c:pt>
                <c:pt idx="4">
                  <c:v>170.49999999999997</c:v>
                </c:pt>
                <c:pt idx="5">
                  <c:v>171.8</c:v>
                </c:pt>
                <c:pt idx="6">
                  <c:v>170.4</c:v>
                </c:pt>
                <c:pt idx="7">
                  <c:v>168.6</c:v>
                </c:pt>
                <c:pt idx="8">
                  <c:v>169.29999999999998</c:v>
                </c:pt>
                <c:pt idx="9">
                  <c:v>173.3</c:v>
                </c:pt>
                <c:pt idx="10">
                  <c:v>180.6</c:v>
                </c:pt>
                <c:pt idx="11">
                  <c:v>180.20000000000002</c:v>
                </c:pt>
                <c:pt idx="12">
                  <c:v>184.70000000000002</c:v>
                </c:pt>
                <c:pt idx="13">
                  <c:v>188.50000000000003</c:v>
                </c:pt>
                <c:pt idx="14">
                  <c:v>188.3</c:v>
                </c:pt>
                <c:pt idx="15">
                  <c:v>195.3</c:v>
                </c:pt>
                <c:pt idx="16">
                  <c:v>199.9</c:v>
                </c:pt>
                <c:pt idx="17">
                  <c:v>199.29999999999998</c:v>
                </c:pt>
                <c:pt idx="18">
                  <c:v>206.5</c:v>
                </c:pt>
                <c:pt idx="19">
                  <c:v>205.5</c:v>
                </c:pt>
                <c:pt idx="20">
                  <c:v>213.40000000000003</c:v>
                </c:pt>
                <c:pt idx="21">
                  <c:v>220.09999999999997</c:v>
                </c:pt>
                <c:pt idx="22">
                  <c:v>219.4</c:v>
                </c:pt>
                <c:pt idx="23">
                  <c:v>224.10000000000002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43776"/>
        <c:axId val="196845952"/>
      </c:lineChart>
      <c:catAx>
        <c:axId val="1968437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845952"/>
        <c:crosses val="autoZero"/>
        <c:auto val="1"/>
        <c:lblAlgn val="ctr"/>
        <c:lblOffset val="100"/>
        <c:noMultiLvlLbl val="1"/>
      </c:catAx>
      <c:valAx>
        <c:axId val="196845952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₹ Lakh/month</a:t>
                </a:r>
              </a:p>
            </c:rich>
          </c:tx>
          <c:layout/>
          <c:overlay val="1"/>
        </c:title>
        <c:numFmt formatCode="#,##0.0" sourceLinked="1"/>
        <c:majorTickMark val="none"/>
        <c:minorTickMark val="none"/>
        <c:tickLblPos val="nextTo"/>
        <c:crossAx val="196843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Patient Satisfaction Trend (Synthetic)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'27_Analytics_Quality'!$B$3:$Y$3</c:f>
              <c:strCache>
                <c:ptCount val="24"/>
                <c:pt idx="0">
                  <c:v>Apr-2025</c:v>
                </c:pt>
                <c:pt idx="1">
                  <c:v>May-2025</c:v>
                </c:pt>
                <c:pt idx="2">
                  <c:v>Jun-2025</c:v>
                </c:pt>
                <c:pt idx="3">
                  <c:v>Jul-2025</c:v>
                </c:pt>
                <c:pt idx="4">
                  <c:v>Aug-2025</c:v>
                </c:pt>
                <c:pt idx="5">
                  <c:v>Sep-2025</c:v>
                </c:pt>
                <c:pt idx="6">
                  <c:v>Oct-2025</c:v>
                </c:pt>
                <c:pt idx="7">
                  <c:v>Nov-2025</c:v>
                </c:pt>
                <c:pt idx="8">
                  <c:v>Dec-2025</c:v>
                </c:pt>
                <c:pt idx="9">
                  <c:v>Jan-2026</c:v>
                </c:pt>
                <c:pt idx="10">
                  <c:v>Feb-2026</c:v>
                </c:pt>
                <c:pt idx="11">
                  <c:v>Mar-2026</c:v>
                </c:pt>
                <c:pt idx="12">
                  <c:v>Apr-2026</c:v>
                </c:pt>
                <c:pt idx="13">
                  <c:v>May-2026</c:v>
                </c:pt>
                <c:pt idx="14">
                  <c:v>Jun-2026</c:v>
                </c:pt>
                <c:pt idx="15">
                  <c:v>Jul-2026</c:v>
                </c:pt>
                <c:pt idx="16">
                  <c:v>Aug-2026</c:v>
                </c:pt>
                <c:pt idx="17">
                  <c:v>Sep-2026</c:v>
                </c:pt>
                <c:pt idx="18">
                  <c:v>Oct-2026</c:v>
                </c:pt>
                <c:pt idx="19">
                  <c:v>Nov-2026</c:v>
                </c:pt>
                <c:pt idx="20">
                  <c:v>Dec-2026</c:v>
                </c:pt>
                <c:pt idx="21">
                  <c:v>Jan-2027</c:v>
                </c:pt>
                <c:pt idx="22">
                  <c:v>Feb-2027</c:v>
                </c:pt>
                <c:pt idx="23">
                  <c:v>Mar-2027</c:v>
                </c:pt>
              </c:strCache>
            </c:strRef>
          </c:cat>
          <c:val>
            <c:numRef>
              <c:f>'27_Analytics_Quality'!$B$7:$Y$7</c:f>
              <c:numCache>
                <c:formatCode>#,##0.0</c:formatCode>
                <c:ptCount val="24"/>
                <c:pt idx="0">
                  <c:v>78.2</c:v>
                </c:pt>
                <c:pt idx="1">
                  <c:v>78.3</c:v>
                </c:pt>
                <c:pt idx="2">
                  <c:v>78.400000000000006</c:v>
                </c:pt>
                <c:pt idx="3">
                  <c:v>80</c:v>
                </c:pt>
                <c:pt idx="4">
                  <c:v>78.5</c:v>
                </c:pt>
                <c:pt idx="5">
                  <c:v>81.2</c:v>
                </c:pt>
                <c:pt idx="6">
                  <c:v>81.400000000000006</c:v>
                </c:pt>
                <c:pt idx="7">
                  <c:v>78.8</c:v>
                </c:pt>
                <c:pt idx="8">
                  <c:v>82.3</c:v>
                </c:pt>
                <c:pt idx="9">
                  <c:v>80.099999999999994</c:v>
                </c:pt>
                <c:pt idx="10">
                  <c:v>81.400000000000006</c:v>
                </c:pt>
                <c:pt idx="11">
                  <c:v>82.3</c:v>
                </c:pt>
                <c:pt idx="12">
                  <c:v>81.7</c:v>
                </c:pt>
                <c:pt idx="13">
                  <c:v>80.7</c:v>
                </c:pt>
                <c:pt idx="14">
                  <c:v>84.3</c:v>
                </c:pt>
                <c:pt idx="15">
                  <c:v>82</c:v>
                </c:pt>
                <c:pt idx="16">
                  <c:v>82.4</c:v>
                </c:pt>
                <c:pt idx="17">
                  <c:v>85.1</c:v>
                </c:pt>
                <c:pt idx="18">
                  <c:v>83.7</c:v>
                </c:pt>
                <c:pt idx="19">
                  <c:v>86.2</c:v>
                </c:pt>
                <c:pt idx="20">
                  <c:v>85.8</c:v>
                </c:pt>
                <c:pt idx="21">
                  <c:v>84.5</c:v>
                </c:pt>
                <c:pt idx="22">
                  <c:v>83.7</c:v>
                </c:pt>
                <c:pt idx="23">
                  <c:v>87.8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952832"/>
        <c:axId val="196954752"/>
      </c:lineChart>
      <c:catAx>
        <c:axId val="196952832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954752"/>
        <c:crosses val="autoZero"/>
        <c:auto val="1"/>
        <c:lblAlgn val="ctr"/>
        <c:lblOffset val="100"/>
        <c:noMultiLvlLbl val="1"/>
      </c:catAx>
      <c:valAx>
        <c:axId val="196954752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CSAT %</a:t>
                </a:r>
              </a:p>
            </c:rich>
          </c:tx>
          <c:layout/>
          <c:overlay val="1"/>
        </c:title>
        <c:numFmt formatCode="#,##0.0" sourceLinked="1"/>
        <c:majorTickMark val="none"/>
        <c:minorTickMark val="none"/>
        <c:tickLblPos val="nextTo"/>
        <c:crossAx val="196952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Headcount Ramp-up Trend (Synthetic)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'28_Analytics_HR'!$B$3:$Y$3</c:f>
              <c:strCache>
                <c:ptCount val="24"/>
                <c:pt idx="0">
                  <c:v>Apr-2025</c:v>
                </c:pt>
                <c:pt idx="1">
                  <c:v>May-2025</c:v>
                </c:pt>
                <c:pt idx="2">
                  <c:v>Jun-2025</c:v>
                </c:pt>
                <c:pt idx="3">
                  <c:v>Jul-2025</c:v>
                </c:pt>
                <c:pt idx="4">
                  <c:v>Aug-2025</c:v>
                </c:pt>
                <c:pt idx="5">
                  <c:v>Sep-2025</c:v>
                </c:pt>
                <c:pt idx="6">
                  <c:v>Oct-2025</c:v>
                </c:pt>
                <c:pt idx="7">
                  <c:v>Nov-2025</c:v>
                </c:pt>
                <c:pt idx="8">
                  <c:v>Dec-2025</c:v>
                </c:pt>
                <c:pt idx="9">
                  <c:v>Jan-2026</c:v>
                </c:pt>
                <c:pt idx="10">
                  <c:v>Feb-2026</c:v>
                </c:pt>
                <c:pt idx="11">
                  <c:v>Mar-2026</c:v>
                </c:pt>
                <c:pt idx="12">
                  <c:v>Apr-2026</c:v>
                </c:pt>
                <c:pt idx="13">
                  <c:v>May-2026</c:v>
                </c:pt>
                <c:pt idx="14">
                  <c:v>Jun-2026</c:v>
                </c:pt>
                <c:pt idx="15">
                  <c:v>Jul-2026</c:v>
                </c:pt>
                <c:pt idx="16">
                  <c:v>Aug-2026</c:v>
                </c:pt>
                <c:pt idx="17">
                  <c:v>Sep-2026</c:v>
                </c:pt>
                <c:pt idx="18">
                  <c:v>Oct-2026</c:v>
                </c:pt>
                <c:pt idx="19">
                  <c:v>Nov-2026</c:v>
                </c:pt>
                <c:pt idx="20">
                  <c:v>Dec-2026</c:v>
                </c:pt>
                <c:pt idx="21">
                  <c:v>Jan-2027</c:v>
                </c:pt>
                <c:pt idx="22">
                  <c:v>Feb-2027</c:v>
                </c:pt>
                <c:pt idx="23">
                  <c:v>Mar-2027</c:v>
                </c:pt>
              </c:strCache>
            </c:strRef>
          </c:cat>
          <c:val>
            <c:numRef>
              <c:f>'28_Analytics_HR'!$B$4:$Y$4</c:f>
              <c:numCache>
                <c:formatCode>#,##0</c:formatCode>
                <c:ptCount val="24"/>
                <c:pt idx="0">
                  <c:v>128</c:v>
                </c:pt>
                <c:pt idx="1">
                  <c:v>135</c:v>
                </c:pt>
                <c:pt idx="2">
                  <c:v>137</c:v>
                </c:pt>
                <c:pt idx="3">
                  <c:v>142</c:v>
                </c:pt>
                <c:pt idx="4">
                  <c:v>146</c:v>
                </c:pt>
                <c:pt idx="5">
                  <c:v>149</c:v>
                </c:pt>
                <c:pt idx="6">
                  <c:v>152</c:v>
                </c:pt>
                <c:pt idx="7">
                  <c:v>157</c:v>
                </c:pt>
                <c:pt idx="8">
                  <c:v>156</c:v>
                </c:pt>
                <c:pt idx="9">
                  <c:v>161</c:v>
                </c:pt>
                <c:pt idx="10">
                  <c:v>167</c:v>
                </c:pt>
                <c:pt idx="11">
                  <c:v>168</c:v>
                </c:pt>
                <c:pt idx="12">
                  <c:v>174</c:v>
                </c:pt>
                <c:pt idx="13">
                  <c:v>177</c:v>
                </c:pt>
                <c:pt idx="14">
                  <c:v>181</c:v>
                </c:pt>
                <c:pt idx="15">
                  <c:v>184</c:v>
                </c:pt>
                <c:pt idx="16">
                  <c:v>189</c:v>
                </c:pt>
                <c:pt idx="17">
                  <c:v>190</c:v>
                </c:pt>
                <c:pt idx="18">
                  <c:v>196</c:v>
                </c:pt>
                <c:pt idx="19">
                  <c:v>197</c:v>
                </c:pt>
                <c:pt idx="20">
                  <c:v>201</c:v>
                </c:pt>
                <c:pt idx="21">
                  <c:v>203</c:v>
                </c:pt>
                <c:pt idx="22">
                  <c:v>207</c:v>
                </c:pt>
                <c:pt idx="23">
                  <c:v>211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282816"/>
        <c:axId val="197297280"/>
      </c:lineChart>
      <c:catAx>
        <c:axId val="197282816"/>
        <c:scaling>
          <c:orientation val="minMax"/>
        </c:scaling>
        <c:delete val="1"/>
        <c:axPos val="b"/>
        <c:majorTickMark val="none"/>
        <c:minorTickMark val="none"/>
        <c:tickLblPos val="nextTo"/>
        <c:crossAx val="197297280"/>
        <c:crosses val="autoZero"/>
        <c:auto val="1"/>
        <c:lblAlgn val="ctr"/>
        <c:lblOffset val="100"/>
        <c:noMultiLvlLbl val="1"/>
      </c:catAx>
      <c:valAx>
        <c:axId val="19729728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FTE</a:t>
                </a:r>
              </a:p>
            </c:rich>
          </c:tx>
          <c:layout/>
          <c:overlay val="1"/>
        </c:title>
        <c:numFmt formatCode="#,##0" sourceLinked="1"/>
        <c:majorTickMark val="none"/>
        <c:minorTickMark val="none"/>
        <c:tickLblPos val="nextTo"/>
        <c:crossAx val="1972828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9</xdr:row>
      <xdr:rowOff>19050</xdr:rowOff>
    </xdr:from>
    <xdr:ext cx="792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542925</xdr:colOff>
      <xdr:row>8</xdr:row>
      <xdr:rowOff>76200</xdr:rowOff>
    </xdr:from>
    <xdr:ext cx="792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180975</xdr:colOff>
      <xdr:row>9</xdr:row>
      <xdr:rowOff>57150</xdr:rowOff>
    </xdr:from>
    <xdr:ext cx="792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457200</xdr:colOff>
      <xdr:row>9</xdr:row>
      <xdr:rowOff>9525</xdr:rowOff>
    </xdr:from>
    <xdr:ext cx="792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523875</xdr:colOff>
      <xdr:row>10</xdr:row>
      <xdr:rowOff>0</xdr:rowOff>
    </xdr:from>
    <xdr:ext cx="792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</xdr:colOff>
      <xdr:row>9</xdr:row>
      <xdr:rowOff>114300</xdr:rowOff>
    </xdr:from>
    <xdr:ext cx="792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514350</xdr:colOff>
      <xdr:row>8</xdr:row>
      <xdr:rowOff>47625</xdr:rowOff>
    </xdr:from>
    <xdr:ext cx="792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381000</xdr:colOff>
      <xdr:row>7</xdr:row>
      <xdr:rowOff>152400</xdr:rowOff>
    </xdr:from>
    <xdr:ext cx="792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B2:D32"/>
  <sheetViews>
    <sheetView showGridLines="0" topLeftCell="A5" workbookViewId="0"/>
  </sheetViews>
  <sheetFormatPr defaultRowHeight="15" x14ac:dyDescent="0.25"/>
  <cols>
    <col min="1" max="1" width="4" customWidth="1"/>
    <col min="2" max="2" width="34" customWidth="1"/>
    <col min="3" max="3" width="60" customWidth="1"/>
    <col min="4" max="4" width="20" customWidth="1"/>
  </cols>
  <sheetData>
    <row r="2" spans="2:4" ht="20.25" x14ac:dyDescent="0.3">
      <c r="B2" s="66" t="s">
        <v>0</v>
      </c>
      <c r="C2" s="64"/>
      <c r="D2" s="64"/>
    </row>
    <row r="3" spans="2:4" x14ac:dyDescent="0.25">
      <c r="B3" s="65" t="s">
        <v>1</v>
      </c>
      <c r="C3" s="64"/>
      <c r="D3" s="64"/>
    </row>
    <row r="4" spans="2:4" ht="15.75" x14ac:dyDescent="0.25">
      <c r="B4" s="1" t="s">
        <v>2</v>
      </c>
    </row>
    <row r="6" spans="2:4" x14ac:dyDescent="0.25">
      <c r="B6" s="2" t="s">
        <v>3</v>
      </c>
    </row>
    <row r="7" spans="2:4" x14ac:dyDescent="0.25">
      <c r="B7" s="2" t="s">
        <v>4</v>
      </c>
      <c r="C7" s="3" t="s">
        <v>5</v>
      </c>
    </row>
    <row r="8" spans="2:4" x14ac:dyDescent="0.25">
      <c r="B8" s="2" t="s">
        <v>6</v>
      </c>
      <c r="C8" s="3" t="s">
        <v>7</v>
      </c>
    </row>
    <row r="9" spans="2:4" x14ac:dyDescent="0.25">
      <c r="B9" s="2" t="s">
        <v>8</v>
      </c>
      <c r="C9" s="3" t="s">
        <v>9</v>
      </c>
    </row>
    <row r="10" spans="2:4" x14ac:dyDescent="0.25">
      <c r="B10" s="2" t="s">
        <v>10</v>
      </c>
      <c r="C10" s="3" t="s">
        <v>11</v>
      </c>
    </row>
    <row r="11" spans="2:4" x14ac:dyDescent="0.25">
      <c r="B11" s="2" t="s">
        <v>12</v>
      </c>
      <c r="C11" s="3" t="s">
        <v>13</v>
      </c>
    </row>
    <row r="12" spans="2:4" x14ac:dyDescent="0.25">
      <c r="B12" s="2" t="s">
        <v>14</v>
      </c>
      <c r="C12" s="3" t="s">
        <v>15</v>
      </c>
    </row>
    <row r="13" spans="2:4" x14ac:dyDescent="0.25">
      <c r="B13" s="2" t="s">
        <v>16</v>
      </c>
      <c r="C13" s="3" t="s">
        <v>17</v>
      </c>
    </row>
    <row r="15" spans="2:4" x14ac:dyDescent="0.25">
      <c r="B15" s="2" t="s">
        <v>18</v>
      </c>
    </row>
    <row r="16" spans="2:4" x14ac:dyDescent="0.25">
      <c r="B16" s="4" t="s">
        <v>19</v>
      </c>
      <c r="C16" s="5" t="s">
        <v>20</v>
      </c>
    </row>
    <row r="17" spans="2:4" x14ac:dyDescent="0.25">
      <c r="B17" s="6" t="s">
        <v>21</v>
      </c>
      <c r="C17" s="5" t="s">
        <v>22</v>
      </c>
    </row>
    <row r="18" spans="2:4" x14ac:dyDescent="0.25">
      <c r="B18" s="7" t="s">
        <v>23</v>
      </c>
      <c r="C18" s="5" t="s">
        <v>24</v>
      </c>
    </row>
    <row r="19" spans="2:4" x14ac:dyDescent="0.25">
      <c r="B19" s="8" t="s">
        <v>25</v>
      </c>
      <c r="C19" s="5" t="s">
        <v>26</v>
      </c>
    </row>
    <row r="21" spans="2:4" x14ac:dyDescent="0.25">
      <c r="B21" s="63" t="s">
        <v>27</v>
      </c>
      <c r="C21" s="64"/>
      <c r="D21" s="64"/>
    </row>
    <row r="23" spans="2:4" x14ac:dyDescent="0.25">
      <c r="B23" s="2" t="s">
        <v>28</v>
      </c>
    </row>
    <row r="24" spans="2:4" x14ac:dyDescent="0.25">
      <c r="C24" s="3" t="s">
        <v>29</v>
      </c>
    </row>
    <row r="25" spans="2:4" x14ac:dyDescent="0.25">
      <c r="C25" s="3" t="s">
        <v>30</v>
      </c>
    </row>
    <row r="26" spans="2:4" x14ac:dyDescent="0.25">
      <c r="C26" s="3" t="s">
        <v>31</v>
      </c>
    </row>
    <row r="27" spans="2:4" x14ac:dyDescent="0.25">
      <c r="C27" s="3" t="s">
        <v>32</v>
      </c>
    </row>
    <row r="28" spans="2:4" x14ac:dyDescent="0.25">
      <c r="C28" s="3" t="s">
        <v>33</v>
      </c>
    </row>
    <row r="29" spans="2:4" x14ac:dyDescent="0.25">
      <c r="C29" s="3" t="s">
        <v>34</v>
      </c>
    </row>
    <row r="30" spans="2:4" x14ac:dyDescent="0.25">
      <c r="C30" s="3" t="s">
        <v>35</v>
      </c>
    </row>
    <row r="31" spans="2:4" x14ac:dyDescent="0.25">
      <c r="C31" s="3" t="s">
        <v>36</v>
      </c>
    </row>
    <row r="32" spans="2:4" x14ac:dyDescent="0.25">
      <c r="C32" s="3" t="s">
        <v>37</v>
      </c>
    </row>
  </sheetData>
  <mergeCells count="3">
    <mergeCell ref="B21:D21"/>
    <mergeCell ref="B3:D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B12"/>
  <sheetViews>
    <sheetView showGridLines="0" workbookViewId="0">
      <selection sqref="A1:B1"/>
    </sheetView>
  </sheetViews>
  <sheetFormatPr defaultRowHeight="15" x14ac:dyDescent="0.25"/>
  <cols>
    <col min="1" max="1" width="24" customWidth="1"/>
    <col min="2" max="2" width="62" customWidth="1"/>
  </cols>
  <sheetData>
    <row r="1" spans="1:2" ht="20.25" x14ac:dyDescent="0.3">
      <c r="A1" s="66" t="s">
        <v>38</v>
      </c>
      <c r="B1" s="64"/>
    </row>
    <row r="2" spans="1:2" x14ac:dyDescent="0.25">
      <c r="A2" s="65" t="s">
        <v>39</v>
      </c>
      <c r="B2" s="64"/>
    </row>
    <row r="3" spans="1:2" ht="54.95" customHeight="1" x14ac:dyDescent="0.25">
      <c r="A3" s="9" t="s">
        <v>40</v>
      </c>
      <c r="B3" s="10" t="s">
        <v>41</v>
      </c>
    </row>
    <row r="4" spans="1:2" ht="95.1" customHeight="1" x14ac:dyDescent="0.25">
      <c r="A4" s="9" t="s">
        <v>42</v>
      </c>
      <c r="B4" s="10" t="s">
        <v>43</v>
      </c>
    </row>
    <row r="5" spans="1:2" ht="95.1" customHeight="1" x14ac:dyDescent="0.25">
      <c r="A5" s="9" t="s">
        <v>44</v>
      </c>
      <c r="B5" s="10" t="s">
        <v>45</v>
      </c>
    </row>
    <row r="6" spans="1:2" ht="95.1" customHeight="1" x14ac:dyDescent="0.25">
      <c r="A6" s="9" t="s">
        <v>46</v>
      </c>
      <c r="B6" s="10" t="s">
        <v>47</v>
      </c>
    </row>
    <row r="7" spans="1:2" ht="95.1" customHeight="1" x14ac:dyDescent="0.25">
      <c r="A7" s="9" t="s">
        <v>48</v>
      </c>
      <c r="B7" s="10" t="s">
        <v>49</v>
      </c>
    </row>
    <row r="8" spans="1:2" ht="95.1" customHeight="1" x14ac:dyDescent="0.25">
      <c r="A8" s="9" t="s">
        <v>50</v>
      </c>
      <c r="B8" s="10" t="s">
        <v>51</v>
      </c>
    </row>
    <row r="9" spans="1:2" ht="95.1" customHeight="1" x14ac:dyDescent="0.25">
      <c r="A9" s="9" t="s">
        <v>52</v>
      </c>
      <c r="B9" s="10" t="s">
        <v>53</v>
      </c>
    </row>
    <row r="10" spans="1:2" ht="95.1" customHeight="1" x14ac:dyDescent="0.25">
      <c r="A10" s="9" t="s">
        <v>54</v>
      </c>
      <c r="B10" s="10" t="s">
        <v>55</v>
      </c>
    </row>
    <row r="11" spans="1:2" ht="95.1" customHeight="1" x14ac:dyDescent="0.25">
      <c r="A11" s="9" t="s">
        <v>56</v>
      </c>
      <c r="B11" s="10" t="s">
        <v>57</v>
      </c>
    </row>
    <row r="12" spans="1:2" ht="54.95" customHeight="1" x14ac:dyDescent="0.25">
      <c r="A12" s="9" t="s">
        <v>58</v>
      </c>
      <c r="B12" s="10" t="s">
        <v>59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F17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6" customWidth="1"/>
    <col min="2" max="2" width="34" customWidth="1"/>
    <col min="3" max="3" width="46" customWidth="1"/>
    <col min="4" max="4" width="16" customWidth="1"/>
    <col min="5" max="5" width="44" customWidth="1"/>
    <col min="6" max="6" width="12" customWidth="1"/>
  </cols>
  <sheetData>
    <row r="1" spans="1:6" ht="20.25" x14ac:dyDescent="0.3">
      <c r="A1" s="66" t="s">
        <v>60</v>
      </c>
      <c r="B1" s="64"/>
      <c r="C1" s="64"/>
      <c r="D1" s="64"/>
      <c r="E1" s="64"/>
      <c r="F1" s="64"/>
    </row>
    <row r="2" spans="1:6" x14ac:dyDescent="0.25">
      <c r="A2" s="65" t="s">
        <v>61</v>
      </c>
      <c r="B2" s="64"/>
      <c r="C2" s="64"/>
      <c r="D2" s="64"/>
      <c r="E2" s="64"/>
      <c r="F2" s="64"/>
    </row>
    <row r="3" spans="1:6" x14ac:dyDescent="0.25">
      <c r="A3" s="11" t="s">
        <v>62</v>
      </c>
      <c r="B3" s="11" t="s">
        <v>63</v>
      </c>
      <c r="C3" s="11" t="s">
        <v>64</v>
      </c>
      <c r="D3" s="11" t="s">
        <v>65</v>
      </c>
      <c r="E3" s="11" t="s">
        <v>66</v>
      </c>
      <c r="F3" s="11" t="s">
        <v>67</v>
      </c>
    </row>
    <row r="4" spans="1:6" ht="30" customHeight="1" x14ac:dyDescent="0.25">
      <c r="A4" s="12">
        <v>1</v>
      </c>
      <c r="B4" s="10" t="s">
        <v>68</v>
      </c>
      <c r="C4" s="10" t="s">
        <v>69</v>
      </c>
      <c r="D4" s="4" t="s">
        <v>19</v>
      </c>
      <c r="E4" s="10" t="s">
        <v>70</v>
      </c>
      <c r="F4" s="12" t="s">
        <v>71</v>
      </c>
    </row>
    <row r="5" spans="1:6" ht="30" customHeight="1" x14ac:dyDescent="0.25">
      <c r="A5" s="12">
        <v>2</v>
      </c>
      <c r="B5" s="10" t="s">
        <v>72</v>
      </c>
      <c r="C5" s="10" t="s">
        <v>73</v>
      </c>
      <c r="D5" s="4" t="s">
        <v>19</v>
      </c>
      <c r="E5" s="10" t="s">
        <v>74</v>
      </c>
      <c r="F5" s="12" t="s">
        <v>71</v>
      </c>
    </row>
    <row r="6" spans="1:6" ht="30" customHeight="1" x14ac:dyDescent="0.25">
      <c r="A6" s="12">
        <v>3</v>
      </c>
      <c r="B6" s="10" t="s">
        <v>75</v>
      </c>
      <c r="C6" s="10" t="s">
        <v>76</v>
      </c>
      <c r="D6" s="4" t="s">
        <v>19</v>
      </c>
      <c r="E6" s="10" t="s">
        <v>74</v>
      </c>
      <c r="F6" s="12" t="s">
        <v>71</v>
      </c>
    </row>
    <row r="7" spans="1:6" ht="30" customHeight="1" x14ac:dyDescent="0.25">
      <c r="A7" s="12">
        <v>4</v>
      </c>
      <c r="B7" s="10" t="s">
        <v>77</v>
      </c>
      <c r="C7" s="10" t="s">
        <v>78</v>
      </c>
      <c r="D7" s="8" t="s">
        <v>25</v>
      </c>
      <c r="E7" s="10" t="s">
        <v>79</v>
      </c>
      <c r="F7" s="12" t="s">
        <v>71</v>
      </c>
    </row>
    <row r="8" spans="1:6" ht="30" customHeight="1" x14ac:dyDescent="0.25">
      <c r="A8" s="12">
        <v>5</v>
      </c>
      <c r="B8" s="10" t="s">
        <v>80</v>
      </c>
      <c r="C8" s="10" t="s">
        <v>81</v>
      </c>
      <c r="D8" s="7" t="s">
        <v>23</v>
      </c>
      <c r="E8" s="10" t="s">
        <v>82</v>
      </c>
      <c r="F8" s="12" t="s">
        <v>83</v>
      </c>
    </row>
    <row r="9" spans="1:6" ht="30" customHeight="1" x14ac:dyDescent="0.25">
      <c r="A9" s="12">
        <v>6</v>
      </c>
      <c r="B9" s="10" t="s">
        <v>84</v>
      </c>
      <c r="C9" s="10" t="s">
        <v>85</v>
      </c>
      <c r="D9" s="6" t="s">
        <v>21</v>
      </c>
      <c r="E9" s="10" t="s">
        <v>86</v>
      </c>
      <c r="F9" s="12" t="s">
        <v>87</v>
      </c>
    </row>
    <row r="10" spans="1:6" ht="30" customHeight="1" x14ac:dyDescent="0.25">
      <c r="A10" s="12">
        <v>7</v>
      </c>
      <c r="B10" s="10" t="s">
        <v>88</v>
      </c>
      <c r="C10" s="10" t="s">
        <v>89</v>
      </c>
      <c r="D10" s="6" t="s">
        <v>21</v>
      </c>
      <c r="E10" s="10" t="s">
        <v>90</v>
      </c>
      <c r="F10" s="12" t="s">
        <v>91</v>
      </c>
    </row>
    <row r="11" spans="1:6" ht="30" customHeight="1" x14ac:dyDescent="0.25">
      <c r="A11" s="12">
        <v>8</v>
      </c>
      <c r="B11" s="10" t="s">
        <v>92</v>
      </c>
      <c r="C11" s="10" t="s">
        <v>93</v>
      </c>
      <c r="D11" s="6" t="s">
        <v>21</v>
      </c>
      <c r="E11" s="10" t="s">
        <v>94</v>
      </c>
      <c r="F11" s="12" t="s">
        <v>91</v>
      </c>
    </row>
    <row r="12" spans="1:6" ht="30" customHeight="1" x14ac:dyDescent="0.25">
      <c r="A12" s="12">
        <v>9</v>
      </c>
      <c r="B12" s="10" t="s">
        <v>95</v>
      </c>
      <c r="C12" s="10" t="s">
        <v>96</v>
      </c>
      <c r="D12" s="6" t="s">
        <v>21</v>
      </c>
      <c r="E12" s="10" t="s">
        <v>97</v>
      </c>
      <c r="F12" s="12" t="s">
        <v>91</v>
      </c>
    </row>
    <row r="13" spans="1:6" ht="30" customHeight="1" x14ac:dyDescent="0.25">
      <c r="A13" s="12">
        <v>10</v>
      </c>
      <c r="B13" s="10" t="s">
        <v>98</v>
      </c>
      <c r="C13" s="10" t="s">
        <v>99</v>
      </c>
      <c r="D13" s="4" t="s">
        <v>19</v>
      </c>
      <c r="E13" s="10" t="s">
        <v>100</v>
      </c>
      <c r="F13" s="12" t="s">
        <v>101</v>
      </c>
    </row>
    <row r="14" spans="1:6" ht="30" customHeight="1" x14ac:dyDescent="0.25">
      <c r="A14" s="12">
        <v>11</v>
      </c>
      <c r="B14" s="10" t="s">
        <v>102</v>
      </c>
      <c r="C14" s="10" t="s">
        <v>103</v>
      </c>
      <c r="D14" s="4" t="s">
        <v>19</v>
      </c>
      <c r="E14" s="10" t="s">
        <v>104</v>
      </c>
      <c r="F14" s="12" t="s">
        <v>101</v>
      </c>
    </row>
    <row r="15" spans="1:6" ht="30" customHeight="1" x14ac:dyDescent="0.25">
      <c r="A15" s="12">
        <v>12</v>
      </c>
      <c r="B15" s="10" t="s">
        <v>105</v>
      </c>
      <c r="C15" s="10" t="s">
        <v>106</v>
      </c>
      <c r="D15" s="13" t="s">
        <v>107</v>
      </c>
      <c r="E15" s="10" t="s">
        <v>108</v>
      </c>
      <c r="F15" s="12" t="s">
        <v>83</v>
      </c>
    </row>
    <row r="17" spans="1:6" x14ac:dyDescent="0.25">
      <c r="A17" s="63" t="s">
        <v>109</v>
      </c>
      <c r="B17" s="64"/>
      <c r="C17" s="64"/>
      <c r="D17" s="64"/>
      <c r="E17" s="64"/>
      <c r="F17" s="64"/>
    </row>
  </sheetData>
  <mergeCells count="3">
    <mergeCell ref="A2:F2"/>
    <mergeCell ref="A1:F1"/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F35"/>
  <sheetViews>
    <sheetView showGridLines="0" workbookViewId="0">
      <pane ySplit="3" topLeftCell="A15" activePane="bottomLeft" state="frozen"/>
      <selection pane="bottomLeft" activeCell="N26" sqref="N26"/>
    </sheetView>
  </sheetViews>
  <sheetFormatPr defaultRowHeight="15" x14ac:dyDescent="0.25"/>
  <cols>
    <col min="1" max="1" width="4" customWidth="1"/>
    <col min="2" max="2" width="32" customWidth="1"/>
    <col min="3" max="3" width="14" customWidth="1"/>
    <col min="4" max="4" width="12" customWidth="1"/>
    <col min="5" max="5" width="16" customWidth="1"/>
    <col min="6" max="6" width="44" customWidth="1"/>
  </cols>
  <sheetData>
    <row r="1" spans="1:6" ht="20.25" x14ac:dyDescent="0.3">
      <c r="A1" s="66" t="s">
        <v>110</v>
      </c>
      <c r="B1" s="64"/>
      <c r="C1" s="64"/>
      <c r="D1" s="64"/>
      <c r="E1" s="64"/>
      <c r="F1" s="64"/>
    </row>
    <row r="2" spans="1:6" x14ac:dyDescent="0.25">
      <c r="A2" s="65" t="s">
        <v>111</v>
      </c>
      <c r="B2" s="64"/>
      <c r="C2" s="64"/>
      <c r="D2" s="64"/>
      <c r="E2" s="64"/>
      <c r="F2" s="64"/>
    </row>
    <row r="3" spans="1:6" x14ac:dyDescent="0.25">
      <c r="A3" s="11" t="s">
        <v>62</v>
      </c>
      <c r="B3" s="11" t="s">
        <v>23</v>
      </c>
      <c r="C3" s="11" t="s">
        <v>112</v>
      </c>
      <c r="D3" s="11" t="s">
        <v>113</v>
      </c>
      <c r="E3" s="11" t="s">
        <v>65</v>
      </c>
      <c r="F3" s="11" t="s">
        <v>114</v>
      </c>
    </row>
    <row r="4" spans="1:6" ht="27.95" customHeight="1" x14ac:dyDescent="0.25">
      <c r="A4" s="14">
        <v>1</v>
      </c>
      <c r="B4" s="10" t="s">
        <v>115</v>
      </c>
      <c r="C4" s="15">
        <v>100</v>
      </c>
      <c r="D4" s="16" t="s">
        <v>116</v>
      </c>
      <c r="E4" s="7" t="s">
        <v>23</v>
      </c>
      <c r="F4" s="17" t="s">
        <v>117</v>
      </c>
    </row>
    <row r="5" spans="1:6" ht="27.95" customHeight="1" x14ac:dyDescent="0.25">
      <c r="A5" s="14">
        <v>2</v>
      </c>
      <c r="B5" s="10" t="s">
        <v>118</v>
      </c>
      <c r="C5" s="15">
        <v>78</v>
      </c>
      <c r="D5" s="16" t="s">
        <v>116</v>
      </c>
      <c r="E5" s="7" t="s">
        <v>23</v>
      </c>
      <c r="F5" s="17" t="s">
        <v>119</v>
      </c>
    </row>
    <row r="6" spans="1:6" ht="27.95" customHeight="1" x14ac:dyDescent="0.25">
      <c r="A6" s="14">
        <v>3</v>
      </c>
      <c r="B6" s="10" t="s">
        <v>120</v>
      </c>
      <c r="C6" s="15">
        <v>100</v>
      </c>
      <c r="D6" s="16" t="s">
        <v>116</v>
      </c>
      <c r="E6" s="7" t="s">
        <v>23</v>
      </c>
      <c r="F6" s="17" t="s">
        <v>121</v>
      </c>
    </row>
    <row r="7" spans="1:6" ht="27.95" customHeight="1" x14ac:dyDescent="0.25">
      <c r="A7" s="14">
        <v>4</v>
      </c>
      <c r="B7" s="10" t="s">
        <v>122</v>
      </c>
      <c r="C7" s="18">
        <v>50</v>
      </c>
      <c r="D7" s="16" t="s">
        <v>123</v>
      </c>
      <c r="E7" s="7" t="s">
        <v>23</v>
      </c>
      <c r="F7" s="17" t="s">
        <v>124</v>
      </c>
    </row>
    <row r="8" spans="1:6" ht="27.95" customHeight="1" x14ac:dyDescent="0.25">
      <c r="A8" s="14">
        <v>5</v>
      </c>
      <c r="B8" s="10" t="s">
        <v>125</v>
      </c>
      <c r="C8" s="18">
        <v>40</v>
      </c>
      <c r="D8" s="16" t="s">
        <v>123</v>
      </c>
      <c r="E8" s="7" t="s">
        <v>23</v>
      </c>
      <c r="F8" s="17" t="s">
        <v>126</v>
      </c>
    </row>
    <row r="9" spans="1:6" ht="27.95" customHeight="1" x14ac:dyDescent="0.25">
      <c r="A9" s="14">
        <v>6</v>
      </c>
      <c r="B9" s="10" t="s">
        <v>127</v>
      </c>
      <c r="C9" s="18">
        <v>60</v>
      </c>
      <c r="D9" s="16" t="s">
        <v>123</v>
      </c>
      <c r="E9" s="7" t="s">
        <v>23</v>
      </c>
      <c r="F9" s="17" t="s">
        <v>128</v>
      </c>
    </row>
    <row r="10" spans="1:6" ht="27.95" customHeight="1" x14ac:dyDescent="0.25">
      <c r="A10" s="14">
        <v>7</v>
      </c>
      <c r="B10" s="10" t="s">
        <v>129</v>
      </c>
      <c r="C10" s="15">
        <v>4</v>
      </c>
      <c r="D10" s="16" t="s">
        <v>130</v>
      </c>
      <c r="E10" s="6" t="s">
        <v>21</v>
      </c>
      <c r="F10" s="17" t="s">
        <v>131</v>
      </c>
    </row>
    <row r="11" spans="1:6" ht="27.95" customHeight="1" x14ac:dyDescent="0.25">
      <c r="A11" s="14">
        <v>8</v>
      </c>
      <c r="B11" s="10" t="s">
        <v>132</v>
      </c>
      <c r="C11" s="15">
        <v>150000</v>
      </c>
      <c r="D11" s="16" t="s">
        <v>133</v>
      </c>
      <c r="E11" s="6" t="s">
        <v>21</v>
      </c>
      <c r="F11" s="17" t="s">
        <v>134</v>
      </c>
    </row>
    <row r="12" spans="1:6" ht="27.95" customHeight="1" x14ac:dyDescent="0.25">
      <c r="A12" s="14">
        <v>9</v>
      </c>
      <c r="B12" s="10" t="s">
        <v>135</v>
      </c>
      <c r="C12" s="15">
        <v>24</v>
      </c>
      <c r="D12" s="16" t="s">
        <v>136</v>
      </c>
      <c r="E12" s="6" t="s">
        <v>21</v>
      </c>
      <c r="F12" s="17" t="s">
        <v>137</v>
      </c>
    </row>
    <row r="13" spans="1:6" ht="27.95" customHeight="1" x14ac:dyDescent="0.25">
      <c r="A13" s="14">
        <v>10</v>
      </c>
      <c r="B13" s="10" t="s">
        <v>138</v>
      </c>
      <c r="C13" s="19">
        <v>0.65</v>
      </c>
      <c r="D13" s="16" t="s">
        <v>139</v>
      </c>
      <c r="E13" s="7" t="s">
        <v>23</v>
      </c>
      <c r="F13" s="17" t="s">
        <v>140</v>
      </c>
    </row>
    <row r="14" spans="1:6" ht="27.95" customHeight="1" x14ac:dyDescent="0.25">
      <c r="A14" s="14">
        <v>11</v>
      </c>
      <c r="B14" s="10" t="s">
        <v>141</v>
      </c>
      <c r="C14" s="19">
        <v>0.105</v>
      </c>
      <c r="D14" s="16" t="s">
        <v>142</v>
      </c>
      <c r="E14" s="6" t="s">
        <v>21</v>
      </c>
      <c r="F14" s="17" t="s">
        <v>143</v>
      </c>
    </row>
    <row r="15" spans="1:6" ht="27.95" customHeight="1" x14ac:dyDescent="0.25">
      <c r="A15" s="14">
        <v>12</v>
      </c>
      <c r="B15" s="10" t="s">
        <v>144</v>
      </c>
      <c r="C15" s="15">
        <v>10</v>
      </c>
      <c r="D15" s="16" t="s">
        <v>145</v>
      </c>
      <c r="E15" s="7" t="s">
        <v>23</v>
      </c>
      <c r="F15" s="17" t="s">
        <v>146</v>
      </c>
    </row>
    <row r="16" spans="1:6" ht="27.95" customHeight="1" x14ac:dyDescent="0.25">
      <c r="A16" s="14">
        <v>13</v>
      </c>
      <c r="B16" s="10" t="s">
        <v>147</v>
      </c>
      <c r="C16" s="15">
        <v>3.8</v>
      </c>
      <c r="D16" s="16" t="s">
        <v>148</v>
      </c>
      <c r="E16" s="6" t="s">
        <v>21</v>
      </c>
      <c r="F16" s="17" t="s">
        <v>149</v>
      </c>
    </row>
    <row r="17" spans="1:6" ht="27.95" customHeight="1" x14ac:dyDescent="0.25">
      <c r="A17" s="14">
        <v>14</v>
      </c>
      <c r="B17" s="10" t="s">
        <v>150</v>
      </c>
      <c r="C17" s="15">
        <v>55</v>
      </c>
      <c r="D17" s="16" t="s">
        <v>151</v>
      </c>
      <c r="E17" s="8" t="s">
        <v>25</v>
      </c>
      <c r="F17" s="17" t="s">
        <v>152</v>
      </c>
    </row>
    <row r="18" spans="1:6" ht="27.95" customHeight="1" x14ac:dyDescent="0.25">
      <c r="A18" s="14">
        <v>15</v>
      </c>
      <c r="B18" s="10" t="s">
        <v>153</v>
      </c>
      <c r="C18" s="19">
        <v>0.42</v>
      </c>
      <c r="D18" s="16" t="s">
        <v>154</v>
      </c>
      <c r="E18" s="7" t="s">
        <v>23</v>
      </c>
      <c r="F18" s="17" t="s">
        <v>155</v>
      </c>
    </row>
    <row r="19" spans="1:6" ht="27.95" customHeight="1" x14ac:dyDescent="0.25">
      <c r="A19" s="14">
        <v>16</v>
      </c>
      <c r="B19" s="10" t="s">
        <v>156</v>
      </c>
      <c r="C19" s="19">
        <v>0.57999999999999996</v>
      </c>
      <c r="D19" s="16" t="s">
        <v>154</v>
      </c>
      <c r="E19" s="7" t="s">
        <v>23</v>
      </c>
      <c r="F19" s="17" t="s">
        <v>157</v>
      </c>
    </row>
    <row r="20" spans="1:6" ht="27.95" customHeight="1" x14ac:dyDescent="0.25">
      <c r="A20" s="14">
        <v>17</v>
      </c>
      <c r="B20" s="10" t="s">
        <v>158</v>
      </c>
      <c r="C20" s="19">
        <v>0.68</v>
      </c>
      <c r="D20" s="16" t="s">
        <v>154</v>
      </c>
      <c r="E20" s="7" t="s">
        <v>23</v>
      </c>
      <c r="F20" s="17" t="s">
        <v>159</v>
      </c>
    </row>
    <row r="21" spans="1:6" ht="27.95" customHeight="1" x14ac:dyDescent="0.25">
      <c r="A21" s="14">
        <v>18</v>
      </c>
      <c r="B21" s="10" t="s">
        <v>160</v>
      </c>
      <c r="C21" s="19">
        <v>0.08</v>
      </c>
      <c r="D21" s="16" t="s">
        <v>161</v>
      </c>
      <c r="E21" s="6" t="s">
        <v>21</v>
      </c>
      <c r="F21" s="17" t="s">
        <v>162</v>
      </c>
    </row>
    <row r="22" spans="1:6" ht="27.95" customHeight="1" x14ac:dyDescent="0.25">
      <c r="A22" s="14">
        <v>19</v>
      </c>
      <c r="B22" s="10" t="s">
        <v>163</v>
      </c>
      <c r="C22" s="19">
        <v>0.62</v>
      </c>
      <c r="D22" s="16" t="s">
        <v>154</v>
      </c>
      <c r="E22" s="7" t="s">
        <v>23</v>
      </c>
      <c r="F22" s="17" t="s">
        <v>164</v>
      </c>
    </row>
    <row r="23" spans="1:6" ht="27.95" customHeight="1" x14ac:dyDescent="0.25">
      <c r="A23" s="14">
        <v>20</v>
      </c>
      <c r="B23" s="10" t="s">
        <v>165</v>
      </c>
      <c r="C23" s="19">
        <v>0.38</v>
      </c>
      <c r="D23" s="16" t="s">
        <v>154</v>
      </c>
      <c r="E23" s="8" t="s">
        <v>25</v>
      </c>
      <c r="F23" s="17" t="s">
        <v>166</v>
      </c>
    </row>
    <row r="24" spans="1:6" ht="27.95" customHeight="1" x14ac:dyDescent="0.25">
      <c r="A24" s="14">
        <v>21</v>
      </c>
      <c r="B24" s="10" t="s">
        <v>167</v>
      </c>
      <c r="C24" s="19">
        <v>0.06</v>
      </c>
      <c r="D24" s="16" t="s">
        <v>142</v>
      </c>
      <c r="E24" s="7" t="s">
        <v>23</v>
      </c>
      <c r="F24" s="17" t="s">
        <v>168</v>
      </c>
    </row>
    <row r="25" spans="1:6" ht="27.95" customHeight="1" x14ac:dyDescent="0.25">
      <c r="A25" s="14">
        <v>22</v>
      </c>
      <c r="B25" s="10" t="s">
        <v>169</v>
      </c>
      <c r="C25" s="19">
        <v>0.06</v>
      </c>
      <c r="D25" s="16" t="s">
        <v>142</v>
      </c>
      <c r="E25" s="7" t="s">
        <v>23</v>
      </c>
      <c r="F25" s="17" t="s">
        <v>170</v>
      </c>
    </row>
    <row r="26" spans="1:6" ht="27.95" customHeight="1" x14ac:dyDescent="0.25">
      <c r="A26" s="14">
        <v>23</v>
      </c>
      <c r="B26" s="10" t="s">
        <v>171</v>
      </c>
      <c r="C26" s="19">
        <v>0.08</v>
      </c>
      <c r="D26" s="16" t="s">
        <v>142</v>
      </c>
      <c r="E26" s="7" t="s">
        <v>23</v>
      </c>
      <c r="F26" s="17" t="s">
        <v>172</v>
      </c>
    </row>
    <row r="27" spans="1:6" ht="27.95" customHeight="1" x14ac:dyDescent="0.25">
      <c r="A27" s="14">
        <v>24</v>
      </c>
      <c r="B27" s="10" t="s">
        <v>173</v>
      </c>
      <c r="C27" s="19">
        <v>0.05</v>
      </c>
      <c r="D27" s="16" t="s">
        <v>174</v>
      </c>
      <c r="E27" s="6" t="s">
        <v>21</v>
      </c>
      <c r="F27" s="17" t="s">
        <v>175</v>
      </c>
    </row>
    <row r="28" spans="1:6" ht="27.95" customHeight="1" x14ac:dyDescent="0.25">
      <c r="A28" s="14">
        <v>25</v>
      </c>
      <c r="B28" s="10" t="s">
        <v>176</v>
      </c>
      <c r="C28" s="19">
        <v>0.03</v>
      </c>
      <c r="D28" s="16" t="s">
        <v>177</v>
      </c>
      <c r="E28" s="7" t="s">
        <v>23</v>
      </c>
      <c r="F28" s="17" t="s">
        <v>178</v>
      </c>
    </row>
    <row r="29" spans="1:6" ht="27.95" customHeight="1" x14ac:dyDescent="0.25">
      <c r="A29" s="14">
        <v>26</v>
      </c>
      <c r="B29" s="10" t="s">
        <v>179</v>
      </c>
      <c r="C29" s="19">
        <v>0.1</v>
      </c>
      <c r="D29" s="16" t="s">
        <v>177</v>
      </c>
      <c r="E29" s="7" t="s">
        <v>23</v>
      </c>
      <c r="F29" s="17" t="s">
        <v>180</v>
      </c>
    </row>
    <row r="30" spans="1:6" ht="27.95" customHeight="1" x14ac:dyDescent="0.25">
      <c r="A30" s="14">
        <v>27</v>
      </c>
      <c r="B30" s="10" t="s">
        <v>181</v>
      </c>
      <c r="C30" s="19">
        <v>0.25</v>
      </c>
      <c r="D30" s="16" t="s">
        <v>182</v>
      </c>
      <c r="E30" s="6" t="s">
        <v>21</v>
      </c>
      <c r="F30" s="17" t="s">
        <v>183</v>
      </c>
    </row>
    <row r="31" spans="1:6" ht="27.95" customHeight="1" x14ac:dyDescent="0.25">
      <c r="A31" s="14">
        <v>28</v>
      </c>
      <c r="B31" s="10" t="s">
        <v>184</v>
      </c>
      <c r="C31" s="19">
        <v>0.15</v>
      </c>
      <c r="D31" s="16" t="s">
        <v>185</v>
      </c>
      <c r="E31" s="7" t="s">
        <v>23</v>
      </c>
      <c r="F31" s="17" t="s">
        <v>186</v>
      </c>
    </row>
    <row r="32" spans="1:6" ht="27.95" customHeight="1" x14ac:dyDescent="0.25">
      <c r="A32" s="14">
        <v>29</v>
      </c>
      <c r="B32" s="10" t="s">
        <v>187</v>
      </c>
      <c r="C32" s="15">
        <v>10</v>
      </c>
      <c r="D32" s="16" t="s">
        <v>145</v>
      </c>
      <c r="E32" s="7" t="s">
        <v>23</v>
      </c>
      <c r="F32" s="17" t="s">
        <v>188</v>
      </c>
    </row>
    <row r="33" spans="1:6" ht="27.95" customHeight="1" x14ac:dyDescent="0.25">
      <c r="A33" s="14">
        <v>30</v>
      </c>
      <c r="B33" s="10" t="s">
        <v>189</v>
      </c>
      <c r="C33" s="19">
        <v>0.13</v>
      </c>
      <c r="D33" s="16" t="s">
        <v>142</v>
      </c>
      <c r="E33" s="7" t="s">
        <v>23</v>
      </c>
      <c r="F33" s="17" t="s">
        <v>190</v>
      </c>
    </row>
    <row r="35" spans="1:6" x14ac:dyDescent="0.25">
      <c r="A35" s="63" t="s">
        <v>191</v>
      </c>
      <c r="B35" s="64"/>
      <c r="C35" s="64"/>
      <c r="D35" s="64"/>
      <c r="E35" s="64"/>
      <c r="F35" s="64"/>
    </row>
  </sheetData>
  <mergeCells count="3">
    <mergeCell ref="A2:F2"/>
    <mergeCell ref="A1:F1"/>
    <mergeCell ref="A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H30"/>
  <sheetViews>
    <sheetView showGridLines="0" workbookViewId="0">
      <pane ySplit="4" topLeftCell="A22" activePane="bottomLeft" state="frozen"/>
      <selection pane="bottomLeft" sqref="A1:E1"/>
    </sheetView>
  </sheetViews>
  <sheetFormatPr defaultRowHeight="15" x14ac:dyDescent="0.25"/>
  <cols>
    <col min="1" max="1" width="34" customWidth="1"/>
    <col min="2" max="3" width="16" customWidth="1"/>
    <col min="4" max="4" width="18" customWidth="1"/>
    <col min="5" max="5" width="40" customWidth="1"/>
  </cols>
  <sheetData>
    <row r="1" spans="1:8" ht="20.25" x14ac:dyDescent="0.3">
      <c r="A1" s="66" t="s">
        <v>192</v>
      </c>
      <c r="B1" s="64"/>
      <c r="C1" s="64"/>
      <c r="D1" s="64"/>
      <c r="E1" s="64"/>
    </row>
    <row r="2" spans="1:8" x14ac:dyDescent="0.25">
      <c r="A2" s="65" t="s">
        <v>193</v>
      </c>
      <c r="B2" s="64"/>
      <c r="C2" s="64"/>
      <c r="D2" s="64"/>
      <c r="E2" s="64"/>
    </row>
    <row r="3" spans="1:8" x14ac:dyDescent="0.25">
      <c r="A3" s="67" t="s">
        <v>194</v>
      </c>
      <c r="B3" s="64"/>
      <c r="C3" s="64"/>
      <c r="D3" s="64"/>
      <c r="E3" s="64"/>
      <c r="F3" s="64"/>
      <c r="G3" s="64"/>
      <c r="H3" s="64"/>
    </row>
    <row r="4" spans="1:8" x14ac:dyDescent="0.25">
      <c r="A4" s="11" t="s">
        <v>195</v>
      </c>
      <c r="B4" s="11" t="s">
        <v>112</v>
      </c>
      <c r="C4" s="11" t="s">
        <v>113</v>
      </c>
      <c r="D4" s="11" t="s">
        <v>65</v>
      </c>
      <c r="E4" s="11" t="s">
        <v>196</v>
      </c>
    </row>
    <row r="5" spans="1:8" ht="26.1" customHeight="1" x14ac:dyDescent="0.25">
      <c r="A5" s="20" t="s">
        <v>197</v>
      </c>
      <c r="B5" s="21">
        <v>6864602</v>
      </c>
      <c r="C5" s="22" t="s">
        <v>198</v>
      </c>
      <c r="D5" s="4" t="s">
        <v>19</v>
      </c>
      <c r="E5" s="23" t="s">
        <v>74</v>
      </c>
    </row>
    <row r="6" spans="1:8" ht="26.1" customHeight="1" x14ac:dyDescent="0.25">
      <c r="A6" s="20" t="s">
        <v>199</v>
      </c>
      <c r="B6" s="21">
        <v>1510075</v>
      </c>
      <c r="C6" s="22" t="s">
        <v>198</v>
      </c>
      <c r="D6" s="4" t="s">
        <v>19</v>
      </c>
      <c r="E6" s="23" t="s">
        <v>200</v>
      </c>
    </row>
    <row r="7" spans="1:8" ht="26.1" customHeight="1" x14ac:dyDescent="0.25">
      <c r="A7" s="20" t="s">
        <v>201</v>
      </c>
      <c r="B7" s="21">
        <v>263</v>
      </c>
      <c r="C7" s="22" t="s">
        <v>202</v>
      </c>
      <c r="D7" s="4" t="s">
        <v>19</v>
      </c>
      <c r="E7" s="23" t="s">
        <v>74</v>
      </c>
    </row>
    <row r="8" spans="1:8" ht="26.1" customHeight="1" x14ac:dyDescent="0.25">
      <c r="A8" s="20" t="s">
        <v>203</v>
      </c>
      <c r="B8" s="24">
        <v>0.12770000000000001</v>
      </c>
      <c r="C8" s="22" t="s">
        <v>154</v>
      </c>
      <c r="D8" s="4" t="s">
        <v>19</v>
      </c>
      <c r="E8" s="23" t="s">
        <v>74</v>
      </c>
    </row>
    <row r="9" spans="1:8" ht="26.1" customHeight="1" x14ac:dyDescent="0.25">
      <c r="A9" s="20" t="s">
        <v>204</v>
      </c>
      <c r="B9" s="25">
        <v>585508</v>
      </c>
      <c r="C9" s="22" t="s">
        <v>198</v>
      </c>
      <c r="D9" s="8" t="s">
        <v>25</v>
      </c>
      <c r="E9" s="23" t="s">
        <v>205</v>
      </c>
    </row>
    <row r="10" spans="1:8" ht="26.1" customHeight="1" x14ac:dyDescent="0.25">
      <c r="A10" s="20" t="s">
        <v>206</v>
      </c>
      <c r="B10" s="21">
        <v>1.2999999999999999E-2</v>
      </c>
      <c r="C10" s="22" t="s">
        <v>142</v>
      </c>
      <c r="D10" s="7" t="s">
        <v>23</v>
      </c>
      <c r="E10" s="23" t="s">
        <v>207</v>
      </c>
    </row>
    <row r="11" spans="1:8" ht="26.1" customHeight="1" x14ac:dyDescent="0.25">
      <c r="A11" s="20" t="s">
        <v>208</v>
      </c>
      <c r="B11" s="25">
        <f>ROUND($B$9*(1+$B$10)^15,0)</f>
        <v>710681</v>
      </c>
      <c r="C11" s="22" t="s">
        <v>198</v>
      </c>
      <c r="D11" s="8" t="s">
        <v>25</v>
      </c>
      <c r="E11" s="23" t="s">
        <v>209</v>
      </c>
    </row>
    <row r="12" spans="1:8" ht="26.1" customHeight="1" x14ac:dyDescent="0.25">
      <c r="A12" s="20" t="s">
        <v>210</v>
      </c>
      <c r="B12" s="21">
        <v>2200000</v>
      </c>
      <c r="C12" s="22" t="s">
        <v>198</v>
      </c>
      <c r="D12" s="7" t="s">
        <v>23</v>
      </c>
      <c r="E12" s="23" t="s">
        <v>211</v>
      </c>
    </row>
    <row r="14" spans="1:8" x14ac:dyDescent="0.25">
      <c r="A14" s="67" t="s">
        <v>212</v>
      </c>
      <c r="B14" s="64"/>
      <c r="C14" s="64"/>
      <c r="D14" s="64"/>
      <c r="E14" s="64"/>
      <c r="F14" s="64"/>
      <c r="G14" s="64"/>
      <c r="H14" s="64"/>
    </row>
    <row r="15" spans="1:8" ht="30" x14ac:dyDescent="0.25">
      <c r="A15" s="11" t="s">
        <v>213</v>
      </c>
      <c r="B15" s="11" t="s">
        <v>214</v>
      </c>
      <c r="C15" s="11" t="s">
        <v>215</v>
      </c>
      <c r="D15" s="11" t="s">
        <v>65</v>
      </c>
      <c r="E15" s="11" t="s">
        <v>216</v>
      </c>
    </row>
    <row r="16" spans="1:8" ht="30" customHeight="1" x14ac:dyDescent="0.25">
      <c r="A16" s="20" t="s">
        <v>217</v>
      </c>
      <c r="B16" s="21">
        <v>950</v>
      </c>
      <c r="C16" s="26" t="s">
        <v>218</v>
      </c>
      <c r="D16" s="4" t="s">
        <v>19</v>
      </c>
      <c r="E16" s="23" t="s">
        <v>219</v>
      </c>
    </row>
    <row r="17" spans="1:8" ht="30" customHeight="1" x14ac:dyDescent="0.25">
      <c r="A17" s="20" t="s">
        <v>220</v>
      </c>
      <c r="B17" s="21">
        <v>200</v>
      </c>
      <c r="C17" s="26" t="s">
        <v>221</v>
      </c>
      <c r="D17" s="6" t="s">
        <v>21</v>
      </c>
      <c r="E17" s="23" t="s">
        <v>222</v>
      </c>
    </row>
    <row r="18" spans="1:8" ht="30" customHeight="1" x14ac:dyDescent="0.25">
      <c r="A18" s="20" t="s">
        <v>223</v>
      </c>
      <c r="B18" s="21">
        <v>100</v>
      </c>
      <c r="C18" s="26" t="s">
        <v>221</v>
      </c>
      <c r="D18" s="6" t="s">
        <v>21</v>
      </c>
      <c r="E18" s="23" t="s">
        <v>224</v>
      </c>
    </row>
    <row r="19" spans="1:8" ht="30" customHeight="1" x14ac:dyDescent="0.25">
      <c r="A19" s="20" t="s">
        <v>225</v>
      </c>
      <c r="B19" s="21">
        <v>100</v>
      </c>
      <c r="C19" s="26" t="s">
        <v>226</v>
      </c>
      <c r="D19" s="4" t="s">
        <v>19</v>
      </c>
      <c r="E19" s="23" t="s">
        <v>227</v>
      </c>
    </row>
    <row r="20" spans="1:8" ht="30" customHeight="1" x14ac:dyDescent="0.25">
      <c r="A20" s="20" t="s">
        <v>228</v>
      </c>
      <c r="B20" s="21">
        <v>150</v>
      </c>
      <c r="C20" s="26" t="s">
        <v>229</v>
      </c>
      <c r="D20" s="7" t="s">
        <v>23</v>
      </c>
      <c r="E20" s="23" t="s">
        <v>230</v>
      </c>
    </row>
    <row r="22" spans="1:8" x14ac:dyDescent="0.25">
      <c r="A22" s="27" t="s">
        <v>231</v>
      </c>
      <c r="B22" s="25">
        <f>SUM(B16:B20)</f>
        <v>1500</v>
      </c>
      <c r="C22" s="28"/>
      <c r="D22" s="28"/>
      <c r="E22" s="28"/>
    </row>
    <row r="24" spans="1:8" x14ac:dyDescent="0.25">
      <c r="A24" s="67" t="s">
        <v>232</v>
      </c>
      <c r="B24" s="64"/>
      <c r="C24" s="64"/>
      <c r="D24" s="64"/>
      <c r="E24" s="64"/>
      <c r="F24" s="64"/>
      <c r="G24" s="64"/>
      <c r="H24" s="64"/>
    </row>
    <row r="25" spans="1:8" x14ac:dyDescent="0.25">
      <c r="A25" s="11" t="s">
        <v>195</v>
      </c>
      <c r="B25" s="11" t="s">
        <v>112</v>
      </c>
      <c r="C25" s="11" t="s">
        <v>113</v>
      </c>
      <c r="D25" s="11" t="s">
        <v>65</v>
      </c>
      <c r="E25" s="11" t="s">
        <v>216</v>
      </c>
    </row>
    <row r="26" spans="1:8" ht="30" customHeight="1" x14ac:dyDescent="0.25">
      <c r="A26" s="20" t="s">
        <v>233</v>
      </c>
      <c r="B26" s="29">
        <f>ROUND(B22/(B9/1000),2)</f>
        <v>2.56</v>
      </c>
      <c r="C26" s="28" t="s">
        <v>234</v>
      </c>
      <c r="D26" s="8" t="s">
        <v>25</v>
      </c>
      <c r="E26" s="23" t="s">
        <v>235</v>
      </c>
    </row>
    <row r="27" spans="1:8" ht="30" customHeight="1" x14ac:dyDescent="0.25">
      <c r="A27" s="20" t="s">
        <v>236</v>
      </c>
      <c r="B27" s="30">
        <v>3</v>
      </c>
      <c r="C27" s="28" t="s">
        <v>234</v>
      </c>
      <c r="D27" s="6" t="s">
        <v>21</v>
      </c>
      <c r="E27" s="23" t="s">
        <v>237</v>
      </c>
    </row>
    <row r="28" spans="1:8" ht="30" customHeight="1" x14ac:dyDescent="0.25">
      <c r="A28" s="20" t="s">
        <v>238</v>
      </c>
      <c r="B28" s="31" t="s">
        <v>239</v>
      </c>
      <c r="C28" s="28" t="s">
        <v>240</v>
      </c>
      <c r="D28" s="7" t="s">
        <v>23</v>
      </c>
      <c r="E28" s="23" t="s">
        <v>241</v>
      </c>
    </row>
    <row r="30" spans="1:8" x14ac:dyDescent="0.25">
      <c r="A30" s="63" t="s">
        <v>242</v>
      </c>
      <c r="B30" s="64"/>
      <c r="C30" s="64"/>
      <c r="D30" s="64"/>
      <c r="E30" s="64"/>
    </row>
  </sheetData>
  <mergeCells count="6">
    <mergeCell ref="A30:E30"/>
    <mergeCell ref="A3:H3"/>
    <mergeCell ref="A2:E2"/>
    <mergeCell ref="A24:H24"/>
    <mergeCell ref="A1:E1"/>
    <mergeCell ref="A14:H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E15"/>
  <sheetViews>
    <sheetView showGridLines="0" workbookViewId="0">
      <selection activeCell="F14" sqref="F14"/>
    </sheetView>
  </sheetViews>
  <sheetFormatPr defaultRowHeight="15" x14ac:dyDescent="0.25"/>
  <cols>
    <col min="1" max="1" width="30" customWidth="1"/>
    <col min="2" max="2" width="10" customWidth="1"/>
    <col min="3" max="3" width="12" customWidth="1"/>
    <col min="4" max="4" width="14" customWidth="1"/>
    <col min="5" max="5" width="40" customWidth="1"/>
  </cols>
  <sheetData>
    <row r="1" spans="1:5" ht="20.25" x14ac:dyDescent="0.3">
      <c r="A1" s="66" t="s">
        <v>243</v>
      </c>
      <c r="B1" s="64"/>
      <c r="C1" s="64"/>
      <c r="D1" s="64"/>
      <c r="E1" s="64"/>
    </row>
    <row r="2" spans="1:5" x14ac:dyDescent="0.25">
      <c r="A2" s="65" t="s">
        <v>244</v>
      </c>
      <c r="B2" s="64"/>
      <c r="C2" s="64"/>
      <c r="D2" s="64"/>
      <c r="E2" s="64"/>
    </row>
    <row r="3" spans="1:5" ht="30" x14ac:dyDescent="0.25">
      <c r="A3" s="11" t="s">
        <v>245</v>
      </c>
      <c r="B3" s="11" t="s">
        <v>246</v>
      </c>
      <c r="C3" s="11" t="s">
        <v>247</v>
      </c>
      <c r="D3" s="11" t="s">
        <v>248</v>
      </c>
      <c r="E3" s="11" t="s">
        <v>249</v>
      </c>
    </row>
    <row r="4" spans="1:5" ht="32.1" customHeight="1" x14ac:dyDescent="0.25">
      <c r="A4" s="20" t="s">
        <v>250</v>
      </c>
      <c r="B4" s="19">
        <v>0.18</v>
      </c>
      <c r="C4" s="32">
        <v>4</v>
      </c>
      <c r="D4" s="33">
        <f t="shared" ref="D4:D12" si="0">B4*C4</f>
        <v>0.72</v>
      </c>
      <c r="E4" s="23" t="s">
        <v>251</v>
      </c>
    </row>
    <row r="5" spans="1:5" ht="32.1" customHeight="1" x14ac:dyDescent="0.25">
      <c r="A5" s="20" t="s">
        <v>252</v>
      </c>
      <c r="B5" s="19">
        <v>0.14000000000000001</v>
      </c>
      <c r="C5" s="32">
        <v>4</v>
      </c>
      <c r="D5" s="33">
        <f t="shared" si="0"/>
        <v>0.56000000000000005</v>
      </c>
      <c r="E5" s="23" t="s">
        <v>253</v>
      </c>
    </row>
    <row r="6" spans="1:5" ht="32.1" customHeight="1" x14ac:dyDescent="0.25">
      <c r="A6" s="20" t="s">
        <v>254</v>
      </c>
      <c r="B6" s="19">
        <v>0.14000000000000001</v>
      </c>
      <c r="C6" s="32">
        <v>4</v>
      </c>
      <c r="D6" s="33">
        <f t="shared" si="0"/>
        <v>0.56000000000000005</v>
      </c>
      <c r="E6" s="23" t="s">
        <v>255</v>
      </c>
    </row>
    <row r="7" spans="1:5" ht="32.1" customHeight="1" x14ac:dyDescent="0.25">
      <c r="A7" s="20" t="s">
        <v>256</v>
      </c>
      <c r="B7" s="19">
        <v>0.12</v>
      </c>
      <c r="C7" s="32">
        <v>3</v>
      </c>
      <c r="D7" s="33">
        <f t="shared" si="0"/>
        <v>0.36</v>
      </c>
      <c r="E7" s="23" t="s">
        <v>257</v>
      </c>
    </row>
    <row r="8" spans="1:5" ht="32.1" customHeight="1" x14ac:dyDescent="0.25">
      <c r="A8" s="20" t="s">
        <v>258</v>
      </c>
      <c r="B8" s="19">
        <v>0.12</v>
      </c>
      <c r="C8" s="32">
        <v>3</v>
      </c>
      <c r="D8" s="33">
        <f t="shared" si="0"/>
        <v>0.36</v>
      </c>
      <c r="E8" s="23" t="s">
        <v>259</v>
      </c>
    </row>
    <row r="9" spans="1:5" ht="32.1" customHeight="1" x14ac:dyDescent="0.25">
      <c r="A9" s="20" t="s">
        <v>260</v>
      </c>
      <c r="B9" s="19">
        <v>0.1</v>
      </c>
      <c r="C9" s="32">
        <v>4</v>
      </c>
      <c r="D9" s="33">
        <f t="shared" si="0"/>
        <v>0.4</v>
      </c>
      <c r="E9" s="23" t="s">
        <v>261</v>
      </c>
    </row>
    <row r="10" spans="1:5" ht="32.1" customHeight="1" x14ac:dyDescent="0.25">
      <c r="A10" s="20" t="s">
        <v>262</v>
      </c>
      <c r="B10" s="19">
        <v>0.08</v>
      </c>
      <c r="C10" s="32">
        <v>3</v>
      </c>
      <c r="D10" s="33">
        <f t="shared" si="0"/>
        <v>0.24</v>
      </c>
      <c r="E10" s="23" t="s">
        <v>263</v>
      </c>
    </row>
    <row r="11" spans="1:5" ht="32.1" customHeight="1" x14ac:dyDescent="0.25">
      <c r="A11" s="20" t="s">
        <v>264</v>
      </c>
      <c r="B11" s="19">
        <v>0.06</v>
      </c>
      <c r="C11" s="32">
        <v>4</v>
      </c>
      <c r="D11" s="33">
        <f t="shared" si="0"/>
        <v>0.24</v>
      </c>
      <c r="E11" s="23" t="s">
        <v>265</v>
      </c>
    </row>
    <row r="12" spans="1:5" ht="32.1" customHeight="1" x14ac:dyDescent="0.25">
      <c r="A12" s="20" t="s">
        <v>266</v>
      </c>
      <c r="B12" s="19">
        <v>0.06</v>
      </c>
      <c r="C12" s="32">
        <v>3</v>
      </c>
      <c r="D12" s="33">
        <f t="shared" si="0"/>
        <v>0.18</v>
      </c>
      <c r="E12" s="23" t="s">
        <v>267</v>
      </c>
    </row>
    <row r="13" spans="1:5" x14ac:dyDescent="0.25">
      <c r="A13" s="27" t="s">
        <v>268</v>
      </c>
      <c r="B13" s="34">
        <f>SUM(B4:B12)</f>
        <v>1</v>
      </c>
      <c r="C13" s="28"/>
      <c r="D13" s="35">
        <f>SUM(D4:D12)</f>
        <v>3.6200000000000006</v>
      </c>
      <c r="E13" s="28"/>
    </row>
    <row r="15" spans="1:5" x14ac:dyDescent="0.25">
      <c r="A15" s="63" t="s">
        <v>269</v>
      </c>
      <c r="B15" s="64"/>
      <c r="C15" s="64"/>
      <c r="D15" s="64"/>
      <c r="E15" s="64"/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B17"/>
  <sheetViews>
    <sheetView showGridLines="0" workbookViewId="0">
      <selection sqref="A1:B1"/>
    </sheetView>
  </sheetViews>
  <sheetFormatPr defaultRowHeight="15" x14ac:dyDescent="0.25"/>
  <cols>
    <col min="1" max="1" width="26" customWidth="1"/>
    <col min="2" max="2" width="60" customWidth="1"/>
  </cols>
  <sheetData>
    <row r="1" spans="1:2" ht="20.25" x14ac:dyDescent="0.3">
      <c r="A1" s="66" t="s">
        <v>270</v>
      </c>
      <c r="B1" s="64"/>
    </row>
    <row r="2" spans="1:2" x14ac:dyDescent="0.25">
      <c r="A2" s="65" t="s">
        <v>271</v>
      </c>
      <c r="B2" s="64"/>
    </row>
    <row r="3" spans="1:2" ht="69.95" customHeight="1" x14ac:dyDescent="0.25">
      <c r="A3" s="9" t="s">
        <v>272</v>
      </c>
      <c r="B3" s="10" t="s">
        <v>273</v>
      </c>
    </row>
    <row r="4" spans="1:2" ht="69.95" customHeight="1" x14ac:dyDescent="0.25">
      <c r="A4" s="9" t="s">
        <v>274</v>
      </c>
      <c r="B4" s="10" t="s">
        <v>275</v>
      </c>
    </row>
    <row r="5" spans="1:2" ht="69.95" customHeight="1" x14ac:dyDescent="0.25">
      <c r="A5" s="9" t="s">
        <v>276</v>
      </c>
      <c r="B5" s="10" t="s">
        <v>277</v>
      </c>
    </row>
    <row r="6" spans="1:2" ht="69.95" customHeight="1" x14ac:dyDescent="0.25">
      <c r="A6" s="9" t="s">
        <v>278</v>
      </c>
      <c r="B6" s="10" t="s">
        <v>279</v>
      </c>
    </row>
    <row r="7" spans="1:2" ht="69.95" customHeight="1" x14ac:dyDescent="0.25">
      <c r="A7" s="9" t="s">
        <v>280</v>
      </c>
      <c r="B7" s="10" t="s">
        <v>281</v>
      </c>
    </row>
    <row r="8" spans="1:2" ht="69.95" customHeight="1" x14ac:dyDescent="0.25">
      <c r="A8" s="9" t="s">
        <v>282</v>
      </c>
      <c r="B8" s="10" t="s">
        <v>283</v>
      </c>
    </row>
    <row r="9" spans="1:2" ht="69.95" customHeight="1" x14ac:dyDescent="0.25">
      <c r="A9" s="9" t="s">
        <v>284</v>
      </c>
      <c r="B9" s="10" t="s">
        <v>285</v>
      </c>
    </row>
    <row r="10" spans="1:2" ht="69.95" customHeight="1" x14ac:dyDescent="0.25">
      <c r="A10" s="9" t="s">
        <v>286</v>
      </c>
      <c r="B10" s="10" t="s">
        <v>287</v>
      </c>
    </row>
    <row r="11" spans="1:2" ht="69.95" customHeight="1" x14ac:dyDescent="0.25">
      <c r="A11" s="9" t="s">
        <v>288</v>
      </c>
      <c r="B11" s="10" t="s">
        <v>289</v>
      </c>
    </row>
    <row r="13" spans="1:2" x14ac:dyDescent="0.25">
      <c r="A13" s="67" t="s">
        <v>290</v>
      </c>
      <c r="B13" s="64"/>
    </row>
    <row r="14" spans="1:2" x14ac:dyDescent="0.25">
      <c r="A14" s="11" t="s">
        <v>291</v>
      </c>
      <c r="B14" s="69" t="s">
        <v>292</v>
      </c>
    </row>
    <row r="15" spans="1:2" ht="60" customHeight="1" x14ac:dyDescent="0.25">
      <c r="A15" s="36" t="s">
        <v>293</v>
      </c>
      <c r="B15" s="68" t="s">
        <v>294</v>
      </c>
    </row>
    <row r="16" spans="1:2" ht="60" customHeight="1" x14ac:dyDescent="0.25">
      <c r="A16" s="36" t="s">
        <v>295</v>
      </c>
      <c r="B16" s="68" t="s">
        <v>296</v>
      </c>
    </row>
    <row r="17" spans="1:2" ht="60" customHeight="1" x14ac:dyDescent="0.25">
      <c r="A17" s="36" t="s">
        <v>297</v>
      </c>
      <c r="B17" s="68" t="s">
        <v>298</v>
      </c>
    </row>
  </sheetData>
  <mergeCells count="7">
    <mergeCell ref="A1:B1"/>
    <mergeCell ref="B14"/>
    <mergeCell ref="A2:B2"/>
    <mergeCell ref="B17"/>
    <mergeCell ref="B15"/>
    <mergeCell ref="A13:B13"/>
    <mergeCell ref="B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22"/>
  <sheetViews>
    <sheetView showGridLines="0" topLeftCell="A8" workbookViewId="0">
      <selection sqref="A1:E1"/>
    </sheetView>
  </sheetViews>
  <sheetFormatPr defaultRowHeight="15" x14ac:dyDescent="0.25"/>
  <cols>
    <col min="1" max="1" width="30" customWidth="1"/>
    <col min="2" max="2" width="16" customWidth="1"/>
    <col min="3" max="3" width="12" customWidth="1"/>
    <col min="4" max="4" width="16" customWidth="1"/>
    <col min="5" max="5" width="40" customWidth="1"/>
  </cols>
  <sheetData>
    <row r="1" spans="1:8" ht="20.25" x14ac:dyDescent="0.3">
      <c r="A1" s="66" t="s">
        <v>299</v>
      </c>
      <c r="B1" s="64"/>
      <c r="C1" s="64"/>
      <c r="D1" s="64"/>
      <c r="E1" s="64"/>
    </row>
    <row r="2" spans="1:8" x14ac:dyDescent="0.25">
      <c r="A2" s="65" t="s">
        <v>300</v>
      </c>
      <c r="B2" s="64"/>
      <c r="C2" s="64"/>
      <c r="D2" s="64"/>
      <c r="E2" s="64"/>
    </row>
    <row r="3" spans="1:8" x14ac:dyDescent="0.25">
      <c r="A3" s="67" t="s">
        <v>301</v>
      </c>
      <c r="B3" s="64"/>
      <c r="C3" s="64"/>
      <c r="D3" s="64"/>
      <c r="E3" s="64"/>
      <c r="F3" s="64"/>
      <c r="G3" s="64"/>
      <c r="H3" s="64"/>
    </row>
    <row r="4" spans="1:8" x14ac:dyDescent="0.25">
      <c r="A4" s="11" t="s">
        <v>302</v>
      </c>
      <c r="B4" s="11" t="s">
        <v>112</v>
      </c>
      <c r="C4" s="11" t="s">
        <v>113</v>
      </c>
      <c r="D4" s="11" t="s">
        <v>65</v>
      </c>
      <c r="E4" s="11" t="s">
        <v>216</v>
      </c>
    </row>
    <row r="5" spans="1:8" ht="26.1" customHeight="1" x14ac:dyDescent="0.25">
      <c r="A5" s="20" t="s">
        <v>303</v>
      </c>
      <c r="B5" s="37">
        <f>'02_Assumptions'!$C$10</f>
        <v>4</v>
      </c>
      <c r="C5" s="22" t="s">
        <v>130</v>
      </c>
      <c r="D5" s="7" t="s">
        <v>23</v>
      </c>
      <c r="E5" s="23" t="s">
        <v>304</v>
      </c>
    </row>
    <row r="6" spans="1:8" ht="26.1" customHeight="1" x14ac:dyDescent="0.25">
      <c r="A6" s="20" t="s">
        <v>305</v>
      </c>
      <c r="B6" s="37">
        <f>'02_Assumptions'!$C$11</f>
        <v>150000</v>
      </c>
      <c r="C6" s="22" t="s">
        <v>133</v>
      </c>
      <c r="D6" s="7" t="s">
        <v>23</v>
      </c>
      <c r="E6" s="23" t="s">
        <v>306</v>
      </c>
    </row>
    <row r="7" spans="1:8" ht="26.1" customHeight="1" x14ac:dyDescent="0.25">
      <c r="A7" s="20" t="s">
        <v>307</v>
      </c>
      <c r="B7" s="25">
        <f>B5*0.45</f>
        <v>1.8</v>
      </c>
      <c r="C7" s="22" t="s">
        <v>133</v>
      </c>
      <c r="D7" s="8" t="s">
        <v>25</v>
      </c>
      <c r="E7" s="23" t="s">
        <v>308</v>
      </c>
    </row>
    <row r="8" spans="1:8" ht="26.1" customHeight="1" x14ac:dyDescent="0.25">
      <c r="A8" s="20" t="s">
        <v>309</v>
      </c>
      <c r="B8" s="25">
        <f>B5*0.15</f>
        <v>0.6</v>
      </c>
      <c r="C8" s="22" t="s">
        <v>133</v>
      </c>
      <c r="D8" s="8" t="s">
        <v>25</v>
      </c>
      <c r="E8" s="23" t="s">
        <v>310</v>
      </c>
    </row>
    <row r="9" spans="1:8" ht="26.1" customHeight="1" x14ac:dyDescent="0.25">
      <c r="A9" s="20" t="s">
        <v>311</v>
      </c>
      <c r="B9" s="25">
        <f>B5*0.1</f>
        <v>0.4</v>
      </c>
      <c r="C9" s="22" t="s">
        <v>133</v>
      </c>
      <c r="D9" s="8" t="s">
        <v>25</v>
      </c>
      <c r="E9" s="23" t="s">
        <v>312</v>
      </c>
    </row>
    <row r="10" spans="1:8" ht="26.1" customHeight="1" x14ac:dyDescent="0.25">
      <c r="A10" s="20" t="s">
        <v>313</v>
      </c>
      <c r="B10" s="25">
        <f>B5*0.3</f>
        <v>1.2</v>
      </c>
      <c r="C10" s="22" t="s">
        <v>133</v>
      </c>
      <c r="D10" s="8" t="s">
        <v>25</v>
      </c>
      <c r="E10" s="23" t="s">
        <v>314</v>
      </c>
    </row>
    <row r="12" spans="1:8" x14ac:dyDescent="0.25">
      <c r="A12" s="67" t="s">
        <v>315</v>
      </c>
      <c r="B12" s="64"/>
      <c r="C12" s="64"/>
      <c r="D12" s="64"/>
      <c r="E12" s="64"/>
    </row>
    <row r="13" spans="1:8" x14ac:dyDescent="0.25">
      <c r="A13" s="11" t="s">
        <v>316</v>
      </c>
      <c r="B13" s="69" t="s">
        <v>317</v>
      </c>
      <c r="C13" s="70"/>
      <c r="D13" s="70"/>
      <c r="E13" s="71"/>
    </row>
    <row r="14" spans="1:8" ht="30" customHeight="1" x14ac:dyDescent="0.25">
      <c r="A14" s="27" t="s">
        <v>318</v>
      </c>
      <c r="B14" s="68" t="s">
        <v>319</v>
      </c>
      <c r="C14" s="64"/>
      <c r="D14" s="64"/>
      <c r="E14" s="64"/>
    </row>
    <row r="15" spans="1:8" ht="30" customHeight="1" x14ac:dyDescent="0.25">
      <c r="A15" s="27" t="s">
        <v>320</v>
      </c>
      <c r="B15" s="68" t="s">
        <v>321</v>
      </c>
      <c r="C15" s="64"/>
      <c r="D15" s="64"/>
      <c r="E15" s="64"/>
    </row>
    <row r="16" spans="1:8" ht="30" customHeight="1" x14ac:dyDescent="0.25">
      <c r="A16" s="27" t="s">
        <v>322</v>
      </c>
      <c r="B16" s="68" t="s">
        <v>323</v>
      </c>
      <c r="C16" s="64"/>
      <c r="D16" s="64"/>
      <c r="E16" s="64"/>
    </row>
    <row r="17" spans="1:5" ht="30" customHeight="1" x14ac:dyDescent="0.25">
      <c r="A17" s="27" t="s">
        <v>324</v>
      </c>
      <c r="B17" s="68" t="s">
        <v>325</v>
      </c>
      <c r="C17" s="64"/>
      <c r="D17" s="64"/>
      <c r="E17" s="64"/>
    </row>
    <row r="18" spans="1:5" ht="30" customHeight="1" x14ac:dyDescent="0.25">
      <c r="A18" s="27" t="s">
        <v>326</v>
      </c>
      <c r="B18" s="68" t="s">
        <v>327</v>
      </c>
      <c r="C18" s="64"/>
      <c r="D18" s="64"/>
      <c r="E18" s="64"/>
    </row>
    <row r="19" spans="1:5" ht="30" customHeight="1" x14ac:dyDescent="0.25">
      <c r="A19" s="27" t="s">
        <v>328</v>
      </c>
      <c r="B19" s="68" t="s">
        <v>329</v>
      </c>
      <c r="C19" s="64"/>
      <c r="D19" s="64"/>
      <c r="E19" s="64"/>
    </row>
    <row r="20" spans="1:5" ht="30" customHeight="1" x14ac:dyDescent="0.25">
      <c r="A20" s="27" t="s">
        <v>330</v>
      </c>
      <c r="B20" s="68" t="s">
        <v>331</v>
      </c>
      <c r="C20" s="64"/>
      <c r="D20" s="64"/>
      <c r="E20" s="64"/>
    </row>
    <row r="22" spans="1:5" x14ac:dyDescent="0.25">
      <c r="A22" s="63" t="s">
        <v>332</v>
      </c>
      <c r="B22" s="64"/>
      <c r="C22" s="64"/>
      <c r="D22" s="64"/>
      <c r="E22" s="64"/>
    </row>
  </sheetData>
  <mergeCells count="13">
    <mergeCell ref="A1:E1"/>
    <mergeCell ref="B19:E19"/>
    <mergeCell ref="B20:E20"/>
    <mergeCell ref="A22:E22"/>
    <mergeCell ref="B14:E14"/>
    <mergeCell ref="B17:E17"/>
    <mergeCell ref="A3:H3"/>
    <mergeCell ref="A12:E12"/>
    <mergeCell ref="B18:E18"/>
    <mergeCell ref="A2:E2"/>
    <mergeCell ref="B13:E13"/>
    <mergeCell ref="B16:E16"/>
    <mergeCell ref="B15:E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F14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F1"/>
    </sheetView>
  </sheetViews>
  <sheetFormatPr defaultRowHeight="15" x14ac:dyDescent="0.25"/>
  <cols>
    <col min="1" max="1" width="26" customWidth="1"/>
    <col min="2" max="5" width="14" customWidth="1"/>
    <col min="6" max="6" width="40" customWidth="1"/>
  </cols>
  <sheetData>
    <row r="1" spans="1:6" ht="20.25" x14ac:dyDescent="0.3">
      <c r="A1" s="66" t="s">
        <v>333</v>
      </c>
      <c r="B1" s="64"/>
      <c r="C1" s="64"/>
      <c r="D1" s="64"/>
      <c r="E1" s="64"/>
      <c r="F1" s="64"/>
    </row>
    <row r="2" spans="1:6" x14ac:dyDescent="0.25">
      <c r="A2" s="65" t="s">
        <v>334</v>
      </c>
      <c r="B2" s="64"/>
      <c r="C2" s="64"/>
      <c r="D2" s="64"/>
      <c r="E2" s="64"/>
      <c r="F2" s="64"/>
    </row>
    <row r="3" spans="1:6" ht="45" x14ac:dyDescent="0.25">
      <c r="A3" s="11" t="s">
        <v>335</v>
      </c>
      <c r="B3" s="11" t="s">
        <v>336</v>
      </c>
      <c r="C3" s="11" t="s">
        <v>337</v>
      </c>
      <c r="D3" s="11" t="s">
        <v>338</v>
      </c>
      <c r="E3" s="11" t="s">
        <v>339</v>
      </c>
      <c r="F3" s="11" t="s">
        <v>216</v>
      </c>
    </row>
    <row r="4" spans="1:6" ht="24" customHeight="1" x14ac:dyDescent="0.25">
      <c r="A4" s="14" t="s">
        <v>340</v>
      </c>
      <c r="B4" s="15">
        <v>24</v>
      </c>
      <c r="C4" s="15">
        <v>28</v>
      </c>
      <c r="D4" s="15">
        <v>30</v>
      </c>
      <c r="E4" s="34">
        <f t="shared" ref="E4:E12" si="0">D4/100</f>
        <v>0.3</v>
      </c>
      <c r="F4" s="23" t="s">
        <v>341</v>
      </c>
    </row>
    <row r="5" spans="1:6" ht="24" customHeight="1" x14ac:dyDescent="0.25">
      <c r="A5" s="14" t="s">
        <v>342</v>
      </c>
      <c r="B5" s="15">
        <v>6</v>
      </c>
      <c r="C5" s="15">
        <v>7</v>
      </c>
      <c r="D5" s="15">
        <v>8</v>
      </c>
      <c r="E5" s="34">
        <f t="shared" si="0"/>
        <v>0.08</v>
      </c>
      <c r="F5" s="23" t="s">
        <v>343</v>
      </c>
    </row>
    <row r="6" spans="1:6" ht="24" customHeight="1" x14ac:dyDescent="0.25">
      <c r="A6" s="14" t="s">
        <v>344</v>
      </c>
      <c r="B6" s="15">
        <v>6</v>
      </c>
      <c r="C6" s="15">
        <v>7</v>
      </c>
      <c r="D6" s="15">
        <v>8</v>
      </c>
      <c r="E6" s="34">
        <f t="shared" si="0"/>
        <v>0.08</v>
      </c>
      <c r="F6" s="23" t="s">
        <v>345</v>
      </c>
    </row>
    <row r="7" spans="1:6" ht="24" customHeight="1" x14ac:dyDescent="0.25">
      <c r="A7" s="14" t="s">
        <v>346</v>
      </c>
      <c r="B7" s="15">
        <v>4</v>
      </c>
      <c r="C7" s="15">
        <v>5</v>
      </c>
      <c r="D7" s="15">
        <v>6</v>
      </c>
      <c r="E7" s="34">
        <f t="shared" si="0"/>
        <v>0.06</v>
      </c>
      <c r="F7" s="23" t="s">
        <v>347</v>
      </c>
    </row>
    <row r="8" spans="1:6" ht="24" customHeight="1" x14ac:dyDescent="0.25">
      <c r="A8" s="14" t="s">
        <v>348</v>
      </c>
      <c r="B8" s="15">
        <v>8</v>
      </c>
      <c r="C8" s="15">
        <v>10</v>
      </c>
      <c r="D8" s="15">
        <v>12</v>
      </c>
      <c r="E8" s="34">
        <f t="shared" si="0"/>
        <v>0.12</v>
      </c>
      <c r="F8" s="23" t="s">
        <v>349</v>
      </c>
    </row>
    <row r="9" spans="1:6" ht="24" customHeight="1" x14ac:dyDescent="0.25">
      <c r="A9" s="14" t="s">
        <v>350</v>
      </c>
      <c r="B9" s="15">
        <v>14</v>
      </c>
      <c r="C9" s="15">
        <v>16</v>
      </c>
      <c r="D9" s="15">
        <v>18</v>
      </c>
      <c r="E9" s="34">
        <f t="shared" si="0"/>
        <v>0.18</v>
      </c>
      <c r="F9" s="23" t="s">
        <v>351</v>
      </c>
    </row>
    <row r="10" spans="1:6" ht="24" customHeight="1" x14ac:dyDescent="0.25">
      <c r="A10" s="14" t="s">
        <v>352</v>
      </c>
      <c r="B10" s="15">
        <v>10</v>
      </c>
      <c r="C10" s="15">
        <v>11</v>
      </c>
      <c r="D10" s="15">
        <v>12</v>
      </c>
      <c r="E10" s="34">
        <f t="shared" si="0"/>
        <v>0.12</v>
      </c>
      <c r="F10" s="23" t="s">
        <v>353</v>
      </c>
    </row>
    <row r="11" spans="1:6" ht="24" customHeight="1" x14ac:dyDescent="0.25">
      <c r="A11" s="14" t="s">
        <v>354</v>
      </c>
      <c r="B11" s="15">
        <v>6</v>
      </c>
      <c r="C11" s="15">
        <v>6</v>
      </c>
      <c r="D11" s="15">
        <v>6</v>
      </c>
      <c r="E11" s="34">
        <f t="shared" si="0"/>
        <v>0.06</v>
      </c>
      <c r="F11" s="23" t="s">
        <v>355</v>
      </c>
    </row>
    <row r="12" spans="1:6" x14ac:dyDescent="0.25">
      <c r="A12" s="27" t="s">
        <v>356</v>
      </c>
      <c r="B12" s="38">
        <f>SUM(B4:B11)</f>
        <v>78</v>
      </c>
      <c r="C12" s="38">
        <f>SUM(C4:C11)</f>
        <v>90</v>
      </c>
      <c r="D12" s="38">
        <f>SUM(D4:D11)</f>
        <v>100</v>
      </c>
      <c r="E12" s="39">
        <f t="shared" si="0"/>
        <v>1</v>
      </c>
      <c r="F12" s="28"/>
    </row>
    <row r="14" spans="1:6" x14ac:dyDescent="0.25">
      <c r="A14" s="63" t="s">
        <v>357</v>
      </c>
      <c r="B14" s="64"/>
      <c r="C14" s="64"/>
      <c r="D14" s="64"/>
      <c r="E14" s="64"/>
      <c r="F14" s="64"/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D19"/>
  <sheetViews>
    <sheetView showGridLines="0" workbookViewId="0">
      <selection sqref="A1:D1"/>
    </sheetView>
  </sheetViews>
  <sheetFormatPr defaultRowHeight="15" x14ac:dyDescent="0.25"/>
  <cols>
    <col min="1" max="1" width="26" customWidth="1"/>
    <col min="2" max="2" width="34" customWidth="1"/>
    <col min="3" max="3" width="14" customWidth="1"/>
    <col min="4" max="4" width="40" customWidth="1"/>
  </cols>
  <sheetData>
    <row r="1" spans="1:4" ht="20.25" x14ac:dyDescent="0.3">
      <c r="A1" s="66" t="s">
        <v>358</v>
      </c>
      <c r="B1" s="64"/>
      <c r="C1" s="64"/>
      <c r="D1" s="64"/>
    </row>
    <row r="2" spans="1:4" x14ac:dyDescent="0.25">
      <c r="A2" s="65" t="s">
        <v>359</v>
      </c>
      <c r="B2" s="64"/>
      <c r="C2" s="64"/>
      <c r="D2" s="64"/>
    </row>
    <row r="3" spans="1:4" x14ac:dyDescent="0.25">
      <c r="A3" s="11" t="s">
        <v>360</v>
      </c>
      <c r="B3" s="11" t="s">
        <v>361</v>
      </c>
      <c r="C3" s="11" t="s">
        <v>291</v>
      </c>
      <c r="D3" s="11" t="s">
        <v>216</v>
      </c>
    </row>
    <row r="4" spans="1:4" ht="39.950000000000003" customHeight="1" x14ac:dyDescent="0.25">
      <c r="A4" s="36" t="s">
        <v>362</v>
      </c>
      <c r="B4" s="10" t="s">
        <v>363</v>
      </c>
      <c r="C4" s="40" t="s">
        <v>364</v>
      </c>
      <c r="D4" s="17" t="s">
        <v>365</v>
      </c>
    </row>
    <row r="5" spans="1:4" ht="39.950000000000003" customHeight="1" x14ac:dyDescent="0.25">
      <c r="A5" s="36" t="s">
        <v>366</v>
      </c>
      <c r="B5" s="10" t="s">
        <v>367</v>
      </c>
      <c r="C5" s="40" t="s">
        <v>364</v>
      </c>
      <c r="D5" s="17" t="s">
        <v>368</v>
      </c>
    </row>
    <row r="6" spans="1:4" ht="39.950000000000003" customHeight="1" x14ac:dyDescent="0.25">
      <c r="A6" s="36" t="s">
        <v>369</v>
      </c>
      <c r="B6" s="10" t="s">
        <v>370</v>
      </c>
      <c r="C6" s="40" t="s">
        <v>371</v>
      </c>
      <c r="D6" s="17" t="s">
        <v>372</v>
      </c>
    </row>
    <row r="7" spans="1:4" ht="39.950000000000003" customHeight="1" x14ac:dyDescent="0.25">
      <c r="A7" s="36" t="s">
        <v>373</v>
      </c>
      <c r="B7" s="10" t="s">
        <v>374</v>
      </c>
      <c r="C7" s="40" t="s">
        <v>375</v>
      </c>
      <c r="D7" s="17" t="s">
        <v>376</v>
      </c>
    </row>
    <row r="8" spans="1:4" ht="39.950000000000003" customHeight="1" x14ac:dyDescent="0.25">
      <c r="A8" s="36" t="s">
        <v>377</v>
      </c>
      <c r="B8" s="10" t="s">
        <v>378</v>
      </c>
      <c r="C8" s="40" t="s">
        <v>364</v>
      </c>
      <c r="D8" s="17" t="s">
        <v>379</v>
      </c>
    </row>
    <row r="9" spans="1:4" ht="39.950000000000003" customHeight="1" x14ac:dyDescent="0.25">
      <c r="A9" s="36" t="s">
        <v>380</v>
      </c>
      <c r="B9" s="10" t="s">
        <v>381</v>
      </c>
      <c r="C9" s="40" t="s">
        <v>375</v>
      </c>
      <c r="D9" s="17" t="s">
        <v>382</v>
      </c>
    </row>
    <row r="10" spans="1:4" ht="39.950000000000003" customHeight="1" x14ac:dyDescent="0.25">
      <c r="A10" s="36" t="s">
        <v>383</v>
      </c>
      <c r="B10" s="10" t="s">
        <v>384</v>
      </c>
      <c r="C10" s="40" t="s">
        <v>364</v>
      </c>
      <c r="D10" s="17" t="s">
        <v>385</v>
      </c>
    </row>
    <row r="11" spans="1:4" ht="39.950000000000003" customHeight="1" x14ac:dyDescent="0.25">
      <c r="A11" s="36" t="s">
        <v>386</v>
      </c>
      <c r="B11" s="10" t="s">
        <v>387</v>
      </c>
      <c r="C11" s="40" t="s">
        <v>364</v>
      </c>
      <c r="D11" s="17" t="s">
        <v>379</v>
      </c>
    </row>
    <row r="12" spans="1:4" ht="39.950000000000003" customHeight="1" x14ac:dyDescent="0.25">
      <c r="A12" s="36" t="s">
        <v>388</v>
      </c>
      <c r="B12" s="10" t="s">
        <v>389</v>
      </c>
      <c r="C12" s="40" t="s">
        <v>364</v>
      </c>
      <c r="D12" s="17" t="s">
        <v>379</v>
      </c>
    </row>
    <row r="13" spans="1:4" ht="39.950000000000003" customHeight="1" x14ac:dyDescent="0.25">
      <c r="A13" s="36" t="s">
        <v>390</v>
      </c>
      <c r="B13" s="10" t="s">
        <v>391</v>
      </c>
      <c r="C13" s="40" t="s">
        <v>375</v>
      </c>
      <c r="D13" s="17" t="s">
        <v>392</v>
      </c>
    </row>
    <row r="14" spans="1:4" ht="39.950000000000003" customHeight="1" x14ac:dyDescent="0.25">
      <c r="A14" s="36" t="s">
        <v>393</v>
      </c>
      <c r="B14" s="10" t="s">
        <v>394</v>
      </c>
      <c r="C14" s="40" t="s">
        <v>364</v>
      </c>
      <c r="D14" s="17" t="s">
        <v>379</v>
      </c>
    </row>
    <row r="15" spans="1:4" ht="39.950000000000003" customHeight="1" x14ac:dyDescent="0.25">
      <c r="A15" s="36" t="s">
        <v>395</v>
      </c>
      <c r="B15" s="10" t="s">
        <v>396</v>
      </c>
      <c r="C15" s="40" t="s">
        <v>364</v>
      </c>
      <c r="D15" s="17" t="s">
        <v>379</v>
      </c>
    </row>
    <row r="16" spans="1:4" ht="39.950000000000003" customHeight="1" x14ac:dyDescent="0.25">
      <c r="A16" s="36" t="s">
        <v>397</v>
      </c>
      <c r="B16" s="10" t="s">
        <v>398</v>
      </c>
      <c r="C16" s="40" t="s">
        <v>399</v>
      </c>
      <c r="D16" s="17" t="s">
        <v>400</v>
      </c>
    </row>
    <row r="17" spans="1:4" ht="39.950000000000003" customHeight="1" x14ac:dyDescent="0.25">
      <c r="A17" s="36" t="s">
        <v>401</v>
      </c>
      <c r="B17" s="10" t="s">
        <v>402</v>
      </c>
      <c r="C17" s="40" t="s">
        <v>399</v>
      </c>
      <c r="D17" s="17" t="s">
        <v>379</v>
      </c>
    </row>
    <row r="18" spans="1:4" ht="39.950000000000003" customHeight="1" x14ac:dyDescent="0.25">
      <c r="A18" s="36" t="s">
        <v>403</v>
      </c>
      <c r="B18" s="10" t="s">
        <v>404</v>
      </c>
      <c r="C18" s="40" t="s">
        <v>405</v>
      </c>
      <c r="D18" s="17" t="s">
        <v>406</v>
      </c>
    </row>
    <row r="19" spans="1:4" ht="39.950000000000003" customHeight="1" x14ac:dyDescent="0.25">
      <c r="A19" s="36" t="s">
        <v>407</v>
      </c>
      <c r="B19" s="10" t="s">
        <v>408</v>
      </c>
      <c r="C19" s="40" t="s">
        <v>364</v>
      </c>
      <c r="D19" s="17" t="s">
        <v>379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I29"/>
  <sheetViews>
    <sheetView showGridLines="0" workbookViewId="0">
      <pane xSplit="2" ySplit="3" topLeftCell="C4" activePane="bottomRight" state="frozen"/>
      <selection pane="topRight"/>
      <selection pane="bottomLeft"/>
      <selection pane="bottomRight" sqref="A1:I1"/>
    </sheetView>
  </sheetViews>
  <sheetFormatPr defaultRowHeight="15" x14ac:dyDescent="0.25"/>
  <cols>
    <col min="1" max="1" width="22" customWidth="1"/>
    <col min="2" max="2" width="24" customWidth="1"/>
    <col min="3" max="8" width="12" customWidth="1"/>
    <col min="9" max="9" width="40" customWidth="1"/>
  </cols>
  <sheetData>
    <row r="1" spans="1:9" ht="20.25" x14ac:dyDescent="0.3">
      <c r="A1" s="66" t="s">
        <v>409</v>
      </c>
      <c r="B1" s="64"/>
      <c r="C1" s="64"/>
      <c r="D1" s="64"/>
      <c r="E1" s="64"/>
      <c r="F1" s="64"/>
      <c r="G1" s="64"/>
      <c r="H1" s="64"/>
      <c r="I1" s="64"/>
    </row>
    <row r="2" spans="1:9" x14ac:dyDescent="0.25">
      <c r="A2" s="65" t="s">
        <v>410</v>
      </c>
      <c r="B2" s="64"/>
      <c r="C2" s="64"/>
      <c r="D2" s="64"/>
      <c r="E2" s="64"/>
      <c r="F2" s="64"/>
      <c r="G2" s="64"/>
      <c r="H2" s="64"/>
      <c r="I2" s="64"/>
    </row>
    <row r="3" spans="1:9" ht="45" x14ac:dyDescent="0.25">
      <c r="A3" s="11" t="s">
        <v>411</v>
      </c>
      <c r="B3" s="11" t="s">
        <v>412</v>
      </c>
      <c r="C3" s="11" t="s">
        <v>413</v>
      </c>
      <c r="D3" s="11" t="s">
        <v>414</v>
      </c>
      <c r="E3" s="11" t="s">
        <v>415</v>
      </c>
      <c r="F3" s="11" t="s">
        <v>416</v>
      </c>
      <c r="G3" s="11" t="s">
        <v>417</v>
      </c>
      <c r="H3" s="11" t="s">
        <v>418</v>
      </c>
      <c r="I3" s="11" t="s">
        <v>216</v>
      </c>
    </row>
    <row r="4" spans="1:9" ht="26.1" customHeight="1" x14ac:dyDescent="0.25">
      <c r="A4" s="14" t="s">
        <v>419</v>
      </c>
      <c r="B4" s="20" t="s">
        <v>420</v>
      </c>
      <c r="C4" s="15">
        <v>10</v>
      </c>
      <c r="D4" s="15">
        <v>14</v>
      </c>
      <c r="E4" s="15">
        <v>18</v>
      </c>
      <c r="F4" s="41">
        <f>'02_Assumptions'!$C$31</f>
        <v>0.15</v>
      </c>
      <c r="G4" s="25">
        <f t="shared" ref="G4:G21" si="0">ROUND(C4*(1+F4),0)</f>
        <v>12</v>
      </c>
      <c r="H4" s="25">
        <f t="shared" ref="H4:H21" si="1">ROUND(E4*(1+F4),0)</f>
        <v>21</v>
      </c>
      <c r="I4" s="23" t="s">
        <v>421</v>
      </c>
    </row>
    <row r="5" spans="1:9" ht="26.1" customHeight="1" x14ac:dyDescent="0.25">
      <c r="A5" s="14" t="s">
        <v>419</v>
      </c>
      <c r="B5" s="20" t="s">
        <v>422</v>
      </c>
      <c r="C5" s="15">
        <v>6</v>
      </c>
      <c r="D5" s="15">
        <v>10</v>
      </c>
      <c r="E5" s="15">
        <v>16</v>
      </c>
      <c r="F5" s="41">
        <f>'02_Assumptions'!$C$31</f>
        <v>0.15</v>
      </c>
      <c r="G5" s="25">
        <f t="shared" si="0"/>
        <v>7</v>
      </c>
      <c r="H5" s="25">
        <f t="shared" si="1"/>
        <v>18</v>
      </c>
      <c r="I5" s="23" t="s">
        <v>423</v>
      </c>
    </row>
    <row r="6" spans="1:9" ht="26.1" customHeight="1" x14ac:dyDescent="0.25">
      <c r="A6" s="14" t="s">
        <v>419</v>
      </c>
      <c r="B6" s="20" t="s">
        <v>424</v>
      </c>
      <c r="C6" s="15">
        <v>12</v>
      </c>
      <c r="D6" s="15">
        <v>16</v>
      </c>
      <c r="E6" s="15">
        <v>20</v>
      </c>
      <c r="F6" s="41">
        <f>'02_Assumptions'!$C$31</f>
        <v>0.15</v>
      </c>
      <c r="G6" s="25">
        <f t="shared" si="0"/>
        <v>14</v>
      </c>
      <c r="H6" s="25">
        <f t="shared" si="1"/>
        <v>23</v>
      </c>
      <c r="I6" s="23" t="s">
        <v>425</v>
      </c>
    </row>
    <row r="7" spans="1:9" ht="26.1" customHeight="1" x14ac:dyDescent="0.25">
      <c r="A7" s="14" t="s">
        <v>426</v>
      </c>
      <c r="B7" s="20" t="s">
        <v>427</v>
      </c>
      <c r="C7" s="15">
        <v>16</v>
      </c>
      <c r="D7" s="15">
        <v>20</v>
      </c>
      <c r="E7" s="15">
        <v>24</v>
      </c>
      <c r="F7" s="41">
        <f>'02_Assumptions'!$C$31</f>
        <v>0.15</v>
      </c>
      <c r="G7" s="25">
        <f t="shared" si="0"/>
        <v>18</v>
      </c>
      <c r="H7" s="25">
        <f t="shared" si="1"/>
        <v>28</v>
      </c>
      <c r="I7" s="23" t="s">
        <v>428</v>
      </c>
    </row>
    <row r="8" spans="1:9" ht="26.1" customHeight="1" x14ac:dyDescent="0.25">
      <c r="A8" s="14" t="s">
        <v>426</v>
      </c>
      <c r="B8" s="20" t="s">
        <v>429</v>
      </c>
      <c r="C8" s="15">
        <v>45</v>
      </c>
      <c r="D8" s="15">
        <v>55</v>
      </c>
      <c r="E8" s="15">
        <v>68</v>
      </c>
      <c r="F8" s="41">
        <f>'02_Assumptions'!$C$31</f>
        <v>0.15</v>
      </c>
      <c r="G8" s="25">
        <f t="shared" si="0"/>
        <v>52</v>
      </c>
      <c r="H8" s="25">
        <f t="shared" si="1"/>
        <v>78</v>
      </c>
      <c r="I8" s="23" t="s">
        <v>430</v>
      </c>
    </row>
    <row r="9" spans="1:9" ht="26.1" customHeight="1" x14ac:dyDescent="0.25">
      <c r="A9" s="14" t="s">
        <v>426</v>
      </c>
      <c r="B9" s="20" t="s">
        <v>431</v>
      </c>
      <c r="C9" s="15">
        <v>4</v>
      </c>
      <c r="D9" s="15">
        <v>5</v>
      </c>
      <c r="E9" s="15">
        <v>6</v>
      </c>
      <c r="F9" s="41">
        <f>'02_Assumptions'!$C$31</f>
        <v>0.15</v>
      </c>
      <c r="G9" s="25">
        <f t="shared" si="0"/>
        <v>5</v>
      </c>
      <c r="H9" s="25">
        <f t="shared" si="1"/>
        <v>7</v>
      </c>
      <c r="I9" s="23" t="s">
        <v>379</v>
      </c>
    </row>
    <row r="10" spans="1:9" ht="26.1" customHeight="1" x14ac:dyDescent="0.25">
      <c r="A10" s="14" t="s">
        <v>432</v>
      </c>
      <c r="B10" s="20" t="s">
        <v>433</v>
      </c>
      <c r="C10" s="15">
        <v>8</v>
      </c>
      <c r="D10" s="15">
        <v>10</v>
      </c>
      <c r="E10" s="15">
        <v>13</v>
      </c>
      <c r="F10" s="41">
        <f>'02_Assumptions'!$C$31</f>
        <v>0.15</v>
      </c>
      <c r="G10" s="25">
        <f t="shared" si="0"/>
        <v>9</v>
      </c>
      <c r="H10" s="25">
        <f t="shared" si="1"/>
        <v>15</v>
      </c>
      <c r="I10" s="23" t="s">
        <v>379</v>
      </c>
    </row>
    <row r="11" spans="1:9" ht="26.1" customHeight="1" x14ac:dyDescent="0.25">
      <c r="A11" s="14" t="s">
        <v>432</v>
      </c>
      <c r="B11" s="20" t="s">
        <v>434</v>
      </c>
      <c r="C11" s="15">
        <v>6</v>
      </c>
      <c r="D11" s="15">
        <v>8</v>
      </c>
      <c r="E11" s="15">
        <v>11</v>
      </c>
      <c r="F11" s="41">
        <f>'02_Assumptions'!$C$31</f>
        <v>0.15</v>
      </c>
      <c r="G11" s="25">
        <f t="shared" si="0"/>
        <v>7</v>
      </c>
      <c r="H11" s="25">
        <f t="shared" si="1"/>
        <v>13</v>
      </c>
      <c r="I11" s="23" t="s">
        <v>435</v>
      </c>
    </row>
    <row r="12" spans="1:9" ht="26.1" customHeight="1" x14ac:dyDescent="0.25">
      <c r="A12" s="14" t="s">
        <v>432</v>
      </c>
      <c r="B12" s="20" t="s">
        <v>436</v>
      </c>
      <c r="C12" s="15">
        <v>6</v>
      </c>
      <c r="D12" s="15">
        <v>8</v>
      </c>
      <c r="E12" s="15">
        <v>10</v>
      </c>
      <c r="F12" s="41">
        <f>'02_Assumptions'!$C$31</f>
        <v>0.15</v>
      </c>
      <c r="G12" s="25">
        <f t="shared" si="0"/>
        <v>7</v>
      </c>
      <c r="H12" s="25">
        <f t="shared" si="1"/>
        <v>12</v>
      </c>
      <c r="I12" s="23" t="s">
        <v>379</v>
      </c>
    </row>
    <row r="13" spans="1:9" ht="26.1" customHeight="1" x14ac:dyDescent="0.25">
      <c r="A13" s="14" t="s">
        <v>432</v>
      </c>
      <c r="B13" s="20" t="s">
        <v>437</v>
      </c>
      <c r="C13" s="15">
        <v>3</v>
      </c>
      <c r="D13" s="15">
        <v>4</v>
      </c>
      <c r="E13" s="15">
        <v>5</v>
      </c>
      <c r="F13" s="41">
        <f>'02_Assumptions'!$C$31</f>
        <v>0.15</v>
      </c>
      <c r="G13" s="25">
        <f t="shared" si="0"/>
        <v>3</v>
      </c>
      <c r="H13" s="25">
        <f t="shared" si="1"/>
        <v>6</v>
      </c>
      <c r="I13" s="23" t="s">
        <v>379</v>
      </c>
    </row>
    <row r="14" spans="1:9" ht="26.1" customHeight="1" x14ac:dyDescent="0.25">
      <c r="A14" s="14" t="s">
        <v>432</v>
      </c>
      <c r="B14" s="20" t="s">
        <v>438</v>
      </c>
      <c r="C14" s="15">
        <v>8</v>
      </c>
      <c r="D14" s="15">
        <v>10</v>
      </c>
      <c r="E14" s="15">
        <v>13</v>
      </c>
      <c r="F14" s="41">
        <f>'02_Assumptions'!$C$31</f>
        <v>0.15</v>
      </c>
      <c r="G14" s="25">
        <f t="shared" si="0"/>
        <v>9</v>
      </c>
      <c r="H14" s="25">
        <f t="shared" si="1"/>
        <v>15</v>
      </c>
      <c r="I14" s="23" t="s">
        <v>379</v>
      </c>
    </row>
    <row r="15" spans="1:9" ht="26.1" customHeight="1" x14ac:dyDescent="0.25">
      <c r="A15" s="14" t="s">
        <v>432</v>
      </c>
      <c r="B15" s="20" t="s">
        <v>439</v>
      </c>
      <c r="C15" s="15">
        <v>4</v>
      </c>
      <c r="D15" s="15">
        <v>4</v>
      </c>
      <c r="E15" s="15">
        <v>5</v>
      </c>
      <c r="F15" s="41">
        <f>'02_Assumptions'!$C$31</f>
        <v>0.15</v>
      </c>
      <c r="G15" s="25">
        <f t="shared" si="0"/>
        <v>5</v>
      </c>
      <c r="H15" s="25">
        <f t="shared" si="1"/>
        <v>6</v>
      </c>
      <c r="I15" s="23" t="s">
        <v>379</v>
      </c>
    </row>
    <row r="16" spans="1:9" ht="26.1" customHeight="1" x14ac:dyDescent="0.25">
      <c r="A16" s="14" t="s">
        <v>440</v>
      </c>
      <c r="B16" s="20" t="s">
        <v>441</v>
      </c>
      <c r="C16" s="15">
        <v>10</v>
      </c>
      <c r="D16" s="15">
        <v>12</v>
      </c>
      <c r="E16" s="15">
        <v>14</v>
      </c>
      <c r="F16" s="41">
        <f>'02_Assumptions'!$C$31</f>
        <v>0.15</v>
      </c>
      <c r="G16" s="25">
        <f t="shared" si="0"/>
        <v>12</v>
      </c>
      <c r="H16" s="25">
        <f t="shared" si="1"/>
        <v>16</v>
      </c>
      <c r="I16" s="23" t="s">
        <v>379</v>
      </c>
    </row>
    <row r="17" spans="1:9" ht="26.1" customHeight="1" x14ac:dyDescent="0.25">
      <c r="A17" s="14" t="s">
        <v>440</v>
      </c>
      <c r="B17" s="20" t="s">
        <v>442</v>
      </c>
      <c r="C17" s="15">
        <v>6</v>
      </c>
      <c r="D17" s="15">
        <v>8</v>
      </c>
      <c r="E17" s="15">
        <v>9</v>
      </c>
      <c r="F17" s="41">
        <f>'02_Assumptions'!$C$31</f>
        <v>0.15</v>
      </c>
      <c r="G17" s="25">
        <f t="shared" si="0"/>
        <v>7</v>
      </c>
      <c r="H17" s="25">
        <f t="shared" si="1"/>
        <v>10</v>
      </c>
      <c r="I17" s="23" t="s">
        <v>379</v>
      </c>
    </row>
    <row r="18" spans="1:9" ht="26.1" customHeight="1" x14ac:dyDescent="0.25">
      <c r="A18" s="14" t="s">
        <v>440</v>
      </c>
      <c r="B18" s="20" t="s">
        <v>443</v>
      </c>
      <c r="C18" s="15">
        <v>3</v>
      </c>
      <c r="D18" s="15">
        <v>4</v>
      </c>
      <c r="E18" s="15">
        <v>5</v>
      </c>
      <c r="F18" s="41">
        <f>'02_Assumptions'!$C$31</f>
        <v>0.15</v>
      </c>
      <c r="G18" s="25">
        <f t="shared" si="0"/>
        <v>3</v>
      </c>
      <c r="H18" s="25">
        <f t="shared" si="1"/>
        <v>6</v>
      </c>
      <c r="I18" s="23" t="s">
        <v>379</v>
      </c>
    </row>
    <row r="19" spans="1:9" ht="26.1" customHeight="1" x14ac:dyDescent="0.25">
      <c r="A19" s="14" t="s">
        <v>444</v>
      </c>
      <c r="B19" s="20" t="s">
        <v>445</v>
      </c>
      <c r="C19" s="15">
        <v>2</v>
      </c>
      <c r="D19" s="15">
        <v>3</v>
      </c>
      <c r="E19" s="15">
        <v>4</v>
      </c>
      <c r="F19" s="41">
        <f>'02_Assumptions'!$C$31</f>
        <v>0.15</v>
      </c>
      <c r="G19" s="25">
        <f t="shared" si="0"/>
        <v>2</v>
      </c>
      <c r="H19" s="25">
        <f t="shared" si="1"/>
        <v>5</v>
      </c>
      <c r="I19" s="23" t="s">
        <v>446</v>
      </c>
    </row>
    <row r="20" spans="1:9" ht="26.1" customHeight="1" x14ac:dyDescent="0.25">
      <c r="A20" s="14" t="s">
        <v>447</v>
      </c>
      <c r="B20" s="20" t="s">
        <v>448</v>
      </c>
      <c r="C20" s="15">
        <v>4</v>
      </c>
      <c r="D20" s="15">
        <v>5</v>
      </c>
      <c r="E20" s="15">
        <v>6</v>
      </c>
      <c r="F20" s="41">
        <f>'02_Assumptions'!$C$31</f>
        <v>0.15</v>
      </c>
      <c r="G20" s="25">
        <f t="shared" si="0"/>
        <v>5</v>
      </c>
      <c r="H20" s="25">
        <f t="shared" si="1"/>
        <v>7</v>
      </c>
      <c r="I20" s="23" t="s">
        <v>449</v>
      </c>
    </row>
    <row r="21" spans="1:9" ht="26.1" customHeight="1" x14ac:dyDescent="0.25">
      <c r="A21" s="14" t="s">
        <v>450</v>
      </c>
      <c r="B21" s="20" t="s">
        <v>451</v>
      </c>
      <c r="C21" s="15">
        <v>40</v>
      </c>
      <c r="D21" s="15">
        <v>48</v>
      </c>
      <c r="E21" s="15">
        <v>55</v>
      </c>
      <c r="F21" s="41">
        <f>'02_Assumptions'!$C$31</f>
        <v>0.15</v>
      </c>
      <c r="G21" s="25">
        <f t="shared" si="0"/>
        <v>46</v>
      </c>
      <c r="H21" s="25">
        <f t="shared" si="1"/>
        <v>63</v>
      </c>
      <c r="I21" s="23" t="s">
        <v>452</v>
      </c>
    </row>
    <row r="22" spans="1:9" x14ac:dyDescent="0.25">
      <c r="A22" s="27" t="s">
        <v>453</v>
      </c>
      <c r="B22" s="28"/>
      <c r="C22" s="38">
        <f>SUM(C4:C21)</f>
        <v>193</v>
      </c>
      <c r="D22" s="38">
        <f>SUM(D4:D21)</f>
        <v>244</v>
      </c>
      <c r="E22" s="38">
        <f>SUM(E4:E21)</f>
        <v>302</v>
      </c>
      <c r="F22" s="28"/>
      <c r="G22" s="38">
        <f>SUM(G4:G21)</f>
        <v>223</v>
      </c>
      <c r="H22" s="38">
        <f>SUM(H4:H21)</f>
        <v>349</v>
      </c>
      <c r="I22" s="28"/>
    </row>
    <row r="24" spans="1:9" x14ac:dyDescent="0.25">
      <c r="A24" s="67" t="s">
        <v>454</v>
      </c>
      <c r="B24" s="64"/>
      <c r="C24" s="64"/>
      <c r="D24" s="64"/>
      <c r="E24" s="64"/>
      <c r="F24" s="64"/>
      <c r="G24" s="64"/>
      <c r="H24" s="64"/>
      <c r="I24" s="64"/>
    </row>
    <row r="25" spans="1:9" x14ac:dyDescent="0.25">
      <c r="A25" s="14" t="s">
        <v>455</v>
      </c>
      <c r="B25" s="42">
        <f>H22</f>
        <v>349</v>
      </c>
    </row>
    <row r="26" spans="1:9" x14ac:dyDescent="0.25">
      <c r="A26" s="14" t="s">
        <v>456</v>
      </c>
      <c r="B26" s="43">
        <f>'02_Assumptions'!$C$4</f>
        <v>100</v>
      </c>
    </row>
    <row r="27" spans="1:9" x14ac:dyDescent="0.25">
      <c r="A27" s="27" t="s">
        <v>457</v>
      </c>
      <c r="B27" s="44">
        <f>ROUND(B25/B26,2)</f>
        <v>3.49</v>
      </c>
    </row>
    <row r="29" spans="1:9" x14ac:dyDescent="0.25">
      <c r="A29" s="63" t="s">
        <v>458</v>
      </c>
      <c r="B29" s="64"/>
      <c r="C29" s="64"/>
      <c r="D29" s="64"/>
      <c r="E29" s="64"/>
      <c r="F29" s="64"/>
      <c r="G29" s="64"/>
      <c r="H29" s="64"/>
      <c r="I29" s="64"/>
    </row>
  </sheetData>
  <mergeCells count="4">
    <mergeCell ref="A1:I1"/>
    <mergeCell ref="A24:I24"/>
    <mergeCell ref="A2:I2"/>
    <mergeCell ref="A29:I2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F18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E1"/>
    </sheetView>
  </sheetViews>
  <sheetFormatPr defaultRowHeight="15" x14ac:dyDescent="0.25"/>
  <cols>
    <col min="1" max="1" width="30" customWidth="1"/>
    <col min="2" max="4" width="14" customWidth="1"/>
    <col min="5" max="5" width="40" customWidth="1"/>
    <col min="6" max="6" width="10" customWidth="1"/>
  </cols>
  <sheetData>
    <row r="1" spans="1:6" ht="20.25" x14ac:dyDescent="0.3">
      <c r="A1" s="66" t="s">
        <v>459</v>
      </c>
      <c r="B1" s="64"/>
      <c r="C1" s="64"/>
      <c r="D1" s="64"/>
      <c r="E1" s="64"/>
    </row>
    <row r="2" spans="1:6" x14ac:dyDescent="0.25">
      <c r="A2" s="65" t="s">
        <v>460</v>
      </c>
      <c r="B2" s="64"/>
      <c r="C2" s="64"/>
      <c r="D2" s="64"/>
      <c r="E2" s="64"/>
    </row>
    <row r="3" spans="1:6" ht="30" x14ac:dyDescent="0.25">
      <c r="A3" s="11" t="s">
        <v>461</v>
      </c>
      <c r="B3" s="11" t="s">
        <v>462</v>
      </c>
      <c r="C3" s="11" t="s">
        <v>463</v>
      </c>
      <c r="D3" s="11" t="s">
        <v>464</v>
      </c>
      <c r="E3" s="11" t="s">
        <v>216</v>
      </c>
      <c r="F3" s="45" t="s">
        <v>465</v>
      </c>
    </row>
    <row r="4" spans="1:6" ht="27.95" customHeight="1" x14ac:dyDescent="0.25">
      <c r="A4" s="20" t="s">
        <v>466</v>
      </c>
      <c r="B4" s="46">
        <f>$F4*'02_Assumptions'!$C$8</f>
        <v>4.8</v>
      </c>
      <c r="C4" s="46">
        <f>$F4*'02_Assumptions'!$C$7</f>
        <v>6</v>
      </c>
      <c r="D4" s="46">
        <f>$F4*'02_Assumptions'!$C$9</f>
        <v>7.1999999999999993</v>
      </c>
      <c r="E4" s="23" t="s">
        <v>467</v>
      </c>
      <c r="F4" s="47">
        <v>0.12</v>
      </c>
    </row>
    <row r="5" spans="1:6" ht="27.95" customHeight="1" x14ac:dyDescent="0.25">
      <c r="A5" s="20" t="s">
        <v>468</v>
      </c>
      <c r="B5" s="46">
        <f>$F5*'02_Assumptions'!$C$8</f>
        <v>15.2</v>
      </c>
      <c r="C5" s="46">
        <f>$F5*'02_Assumptions'!$C$7</f>
        <v>19</v>
      </c>
      <c r="D5" s="46">
        <f>$F5*'02_Assumptions'!$C$9</f>
        <v>22.8</v>
      </c>
      <c r="E5" s="23" t="s">
        <v>469</v>
      </c>
      <c r="F5" s="47">
        <v>0.38</v>
      </c>
    </row>
    <row r="6" spans="1:6" ht="27.95" customHeight="1" x14ac:dyDescent="0.25">
      <c r="A6" s="20" t="s">
        <v>470</v>
      </c>
      <c r="B6" s="46">
        <f>$F6*'02_Assumptions'!$C$8</f>
        <v>4.8</v>
      </c>
      <c r="C6" s="46">
        <f>$F6*'02_Assumptions'!$C$7</f>
        <v>6</v>
      </c>
      <c r="D6" s="46">
        <f>$F6*'02_Assumptions'!$C$9</f>
        <v>7.1999999999999993</v>
      </c>
      <c r="E6" s="23" t="s">
        <v>471</v>
      </c>
      <c r="F6" s="47">
        <v>0.12</v>
      </c>
    </row>
    <row r="7" spans="1:6" ht="27.95" customHeight="1" x14ac:dyDescent="0.25">
      <c r="A7" s="20" t="s">
        <v>472</v>
      </c>
      <c r="B7" s="46">
        <f>$F7*'02_Assumptions'!$C$8</f>
        <v>9.6</v>
      </c>
      <c r="C7" s="46">
        <f>$F7*'02_Assumptions'!$C$7</f>
        <v>12</v>
      </c>
      <c r="D7" s="46">
        <f>$F7*'02_Assumptions'!$C$9</f>
        <v>14.399999999999999</v>
      </c>
      <c r="E7" s="23" t="s">
        <v>473</v>
      </c>
      <c r="F7" s="47">
        <v>0.24</v>
      </c>
    </row>
    <row r="8" spans="1:6" ht="27.95" customHeight="1" x14ac:dyDescent="0.25">
      <c r="A8" s="20" t="s">
        <v>474</v>
      </c>
      <c r="B8" s="46">
        <f>$F8*'02_Assumptions'!$C$8</f>
        <v>2</v>
      </c>
      <c r="C8" s="46">
        <f>$F8*'02_Assumptions'!$C$7</f>
        <v>2.5</v>
      </c>
      <c r="D8" s="46">
        <f>$F8*'02_Assumptions'!$C$9</f>
        <v>3</v>
      </c>
      <c r="E8" s="23" t="s">
        <v>475</v>
      </c>
      <c r="F8" s="47">
        <v>0.05</v>
      </c>
    </row>
    <row r="9" spans="1:6" ht="27.95" customHeight="1" x14ac:dyDescent="0.25">
      <c r="A9" s="20" t="s">
        <v>476</v>
      </c>
      <c r="B9" s="46">
        <f>$F9*'02_Assumptions'!$C$8</f>
        <v>2</v>
      </c>
      <c r="C9" s="46">
        <f>$F9*'02_Assumptions'!$C$7</f>
        <v>2.5</v>
      </c>
      <c r="D9" s="46">
        <f>$F9*'02_Assumptions'!$C$9</f>
        <v>3</v>
      </c>
      <c r="E9" s="23" t="s">
        <v>379</v>
      </c>
      <c r="F9" s="47">
        <v>0.05</v>
      </c>
    </row>
    <row r="10" spans="1:6" ht="27.95" customHeight="1" x14ac:dyDescent="0.25">
      <c r="A10" s="20" t="s">
        <v>477</v>
      </c>
      <c r="B10" s="46">
        <f>$F10*'02_Assumptions'!$C$8</f>
        <v>1.6</v>
      </c>
      <c r="C10" s="46">
        <f>$F10*'02_Assumptions'!$C$7</f>
        <v>2</v>
      </c>
      <c r="D10" s="46">
        <f>$F10*'02_Assumptions'!$C$9</f>
        <v>2.4</v>
      </c>
      <c r="E10" s="23" t="s">
        <v>478</v>
      </c>
      <c r="F10" s="47">
        <v>0.04</v>
      </c>
    </row>
    <row r="11" spans="1:6" x14ac:dyDescent="0.25">
      <c r="A11" s="27" t="s">
        <v>479</v>
      </c>
      <c r="B11" s="48">
        <f>SUM(B4:B10)</f>
        <v>40</v>
      </c>
      <c r="C11" s="48">
        <f>SUM(C4:C10)</f>
        <v>50</v>
      </c>
      <c r="D11" s="48">
        <f>SUM(D4:D10)</f>
        <v>60</v>
      </c>
      <c r="E11" s="28"/>
      <c r="F11" s="49">
        <f>SUM(F4:F10)</f>
        <v>1</v>
      </c>
    </row>
    <row r="13" spans="1:6" x14ac:dyDescent="0.25">
      <c r="A13" s="67" t="s">
        <v>480</v>
      </c>
      <c r="B13" s="64"/>
      <c r="C13" s="64"/>
      <c r="D13" s="64"/>
      <c r="E13" s="64"/>
    </row>
    <row r="14" spans="1:6" x14ac:dyDescent="0.25">
      <c r="A14" s="11" t="s">
        <v>66</v>
      </c>
      <c r="B14" s="11" t="s">
        <v>481</v>
      </c>
      <c r="C14" s="11" t="s">
        <v>482</v>
      </c>
      <c r="D14" s="11"/>
      <c r="E14" s="11"/>
    </row>
    <row r="15" spans="1:6" x14ac:dyDescent="0.25">
      <c r="A15" s="14" t="s">
        <v>483</v>
      </c>
      <c r="B15" s="50">
        <f>C11*'02_Assumptions'!$C$13</f>
        <v>32.5</v>
      </c>
      <c r="C15" s="51">
        <f>B15/C11</f>
        <v>0.65</v>
      </c>
      <c r="D15" s="28"/>
      <c r="E15" s="28"/>
    </row>
    <row r="16" spans="1:6" x14ac:dyDescent="0.25">
      <c r="A16" s="14" t="s">
        <v>484</v>
      </c>
      <c r="B16" s="50">
        <f>C11-B15</f>
        <v>17.5</v>
      </c>
      <c r="C16" s="51">
        <f>B16/C11</f>
        <v>0.35</v>
      </c>
      <c r="D16" s="28"/>
      <c r="E16" s="28"/>
    </row>
    <row r="18" spans="1:5" x14ac:dyDescent="0.25">
      <c r="A18" s="63" t="s">
        <v>485</v>
      </c>
      <c r="B18" s="64"/>
      <c r="C18" s="64"/>
      <c r="D18" s="64"/>
      <c r="E18" s="64"/>
    </row>
  </sheetData>
  <mergeCells count="4">
    <mergeCell ref="A2:E2"/>
    <mergeCell ref="A1:E1"/>
    <mergeCell ref="A18:E18"/>
    <mergeCell ref="A13:E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K16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34" customWidth="1"/>
    <col min="2" max="11" width="13" customWidth="1"/>
  </cols>
  <sheetData>
    <row r="1" spans="1:11" ht="20.25" x14ac:dyDescent="0.3">
      <c r="A1" s="66" t="s">
        <v>486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x14ac:dyDescent="0.25">
      <c r="A2" s="65" t="s">
        <v>487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1" x14ac:dyDescent="0.25">
      <c r="A3" s="27"/>
      <c r="B3" s="52" t="s">
        <v>488</v>
      </c>
      <c r="C3" s="52" t="s">
        <v>489</v>
      </c>
      <c r="D3" s="52" t="s">
        <v>490</v>
      </c>
      <c r="E3" s="52" t="s">
        <v>491</v>
      </c>
      <c r="F3" s="52" t="s">
        <v>492</v>
      </c>
      <c r="G3" s="52" t="s">
        <v>493</v>
      </c>
      <c r="H3" s="52" t="s">
        <v>494</v>
      </c>
      <c r="I3" s="52" t="s">
        <v>495</v>
      </c>
      <c r="J3" s="52" t="s">
        <v>496</v>
      </c>
      <c r="K3" s="52" t="s">
        <v>497</v>
      </c>
    </row>
    <row r="4" spans="1:11" ht="24" customHeight="1" x14ac:dyDescent="0.25">
      <c r="A4" s="14" t="s">
        <v>498</v>
      </c>
      <c r="B4" s="33">
        <f t="shared" ref="B4:K4" si="0">ROUND(B15*B16,1)</f>
        <v>1338</v>
      </c>
      <c r="C4" s="33">
        <f t="shared" si="0"/>
        <v>1649.2</v>
      </c>
      <c r="D4" s="33">
        <f t="shared" si="0"/>
        <v>2001.5</v>
      </c>
      <c r="E4" s="33">
        <f t="shared" si="0"/>
        <v>2399.8000000000002</v>
      </c>
      <c r="F4" s="33">
        <f t="shared" si="0"/>
        <v>2848.9</v>
      </c>
      <c r="G4" s="33">
        <f t="shared" si="0"/>
        <v>3076.8</v>
      </c>
      <c r="H4" s="33">
        <f t="shared" si="0"/>
        <v>3322.9</v>
      </c>
      <c r="I4" s="33">
        <f t="shared" si="0"/>
        <v>3588.7</v>
      </c>
      <c r="J4" s="33">
        <f t="shared" si="0"/>
        <v>3875.8</v>
      </c>
      <c r="K4" s="33">
        <f t="shared" si="0"/>
        <v>4185.8999999999996</v>
      </c>
    </row>
    <row r="5" spans="1:11" ht="24" customHeight="1" x14ac:dyDescent="0.25">
      <c r="A5" s="14" t="s">
        <v>499</v>
      </c>
      <c r="B5" s="53">
        <f>ROUND('12_Revenue'!B12*0.22,1)</f>
        <v>382.9</v>
      </c>
      <c r="C5" s="33">
        <f>ROUND(B5*(1+'02_Assumptions'!$C$25),1)</f>
        <v>405.9</v>
      </c>
      <c r="D5" s="33">
        <f>ROUND(C5*(1+'02_Assumptions'!$C$25),1)</f>
        <v>430.3</v>
      </c>
      <c r="E5" s="33">
        <f>ROUND(D5*(1+'02_Assumptions'!$C$25),1)</f>
        <v>456.1</v>
      </c>
      <c r="F5" s="33">
        <f>ROUND(E5*(1+'02_Assumptions'!$C$25),1)</f>
        <v>483.5</v>
      </c>
      <c r="G5" s="33">
        <f>ROUND(F5*(1+'02_Assumptions'!$C$25),1)</f>
        <v>512.5</v>
      </c>
      <c r="H5" s="33">
        <f>ROUND(G5*(1+'02_Assumptions'!$C$25),1)</f>
        <v>543.29999999999995</v>
      </c>
      <c r="I5" s="33">
        <f>ROUND(H5*(1+'02_Assumptions'!$C$25),1)</f>
        <v>575.9</v>
      </c>
      <c r="J5" s="33">
        <f>ROUND(I5*(1+'02_Assumptions'!$C$25),1)</f>
        <v>610.5</v>
      </c>
      <c r="K5" s="33">
        <f>ROUND(J5*(1+'02_Assumptions'!$C$25),1)</f>
        <v>647.1</v>
      </c>
    </row>
    <row r="6" spans="1:11" ht="24" customHeight="1" x14ac:dyDescent="0.25">
      <c r="A6" s="14" t="s">
        <v>500</v>
      </c>
      <c r="B6" s="53">
        <f>ROUND('12_Revenue'!B12*0.04,1)</f>
        <v>69.599999999999994</v>
      </c>
      <c r="C6" s="33">
        <f>ROUND(B6*(1+'02_Assumptions'!$C$25),1)</f>
        <v>73.8</v>
      </c>
      <c r="D6" s="33">
        <f>ROUND(C6*(1+'02_Assumptions'!$C$25),1)</f>
        <v>78.2</v>
      </c>
      <c r="E6" s="33">
        <f>ROUND(D6*(1+'02_Assumptions'!$C$25),1)</f>
        <v>82.9</v>
      </c>
      <c r="F6" s="33">
        <f>ROUND(E6*(1+'02_Assumptions'!$C$25),1)</f>
        <v>87.9</v>
      </c>
      <c r="G6" s="33">
        <f>ROUND(F6*(1+'02_Assumptions'!$C$25),1)</f>
        <v>93.2</v>
      </c>
      <c r="H6" s="33">
        <f>ROUND(G6*(1+'02_Assumptions'!$C$25),1)</f>
        <v>98.8</v>
      </c>
      <c r="I6" s="33">
        <f>ROUND(H6*(1+'02_Assumptions'!$C$25),1)</f>
        <v>104.7</v>
      </c>
      <c r="J6" s="33">
        <f>ROUND(I6*(1+'02_Assumptions'!$C$25),1)</f>
        <v>111</v>
      </c>
      <c r="K6" s="33">
        <f>ROUND(J6*(1+'02_Assumptions'!$C$25),1)</f>
        <v>117.7</v>
      </c>
    </row>
    <row r="7" spans="1:11" ht="24" customHeight="1" x14ac:dyDescent="0.25">
      <c r="A7" s="14" t="s">
        <v>501</v>
      </c>
      <c r="B7" s="53">
        <f>ROUND('12_Revenue'!B12*0.035,1)</f>
        <v>60.9</v>
      </c>
      <c r="C7" s="33">
        <f>ROUND(B7*(1+'02_Assumptions'!$C$25),1)</f>
        <v>64.599999999999994</v>
      </c>
      <c r="D7" s="33">
        <f>ROUND(C7*(1+'02_Assumptions'!$C$25),1)</f>
        <v>68.5</v>
      </c>
      <c r="E7" s="33">
        <f>ROUND(D7*(1+'02_Assumptions'!$C$25),1)</f>
        <v>72.599999999999994</v>
      </c>
      <c r="F7" s="33">
        <f>ROUND(E7*(1+'02_Assumptions'!$C$25),1)</f>
        <v>77</v>
      </c>
      <c r="G7" s="33">
        <f>ROUND(F7*(1+'02_Assumptions'!$C$25),1)</f>
        <v>81.599999999999994</v>
      </c>
      <c r="H7" s="33">
        <f>ROUND(G7*(1+'02_Assumptions'!$C$25),1)</f>
        <v>86.5</v>
      </c>
      <c r="I7" s="33">
        <f>ROUND(H7*(1+'02_Assumptions'!$C$25),1)</f>
        <v>91.7</v>
      </c>
      <c r="J7" s="33">
        <f>ROUND(I7*(1+'02_Assumptions'!$C$25),1)</f>
        <v>97.2</v>
      </c>
      <c r="K7" s="33">
        <f>ROUND(J7*(1+'02_Assumptions'!$C$25),1)</f>
        <v>103</v>
      </c>
    </row>
    <row r="8" spans="1:11" ht="24" customHeight="1" x14ac:dyDescent="0.25">
      <c r="A8" s="14" t="s">
        <v>502</v>
      </c>
      <c r="B8" s="53">
        <f>ROUND('12_Revenue'!B12*0.025,1)</f>
        <v>43.5</v>
      </c>
      <c r="C8" s="33">
        <f>ROUND(B8*(1+'02_Assumptions'!$C$25),1)</f>
        <v>46.1</v>
      </c>
      <c r="D8" s="33">
        <f>ROUND(C8*(1+'02_Assumptions'!$C$25),1)</f>
        <v>48.9</v>
      </c>
      <c r="E8" s="33">
        <f>ROUND(D8*(1+'02_Assumptions'!$C$25),1)</f>
        <v>51.8</v>
      </c>
      <c r="F8" s="33">
        <f>ROUND(E8*(1+'02_Assumptions'!$C$25),1)</f>
        <v>54.9</v>
      </c>
      <c r="G8" s="33">
        <f>ROUND(F8*(1+'02_Assumptions'!$C$25),1)</f>
        <v>58.2</v>
      </c>
      <c r="H8" s="33">
        <f>ROUND(G8*(1+'02_Assumptions'!$C$25),1)</f>
        <v>61.7</v>
      </c>
      <c r="I8" s="33">
        <f>ROUND(H8*(1+'02_Assumptions'!$C$25),1)</f>
        <v>65.400000000000006</v>
      </c>
      <c r="J8" s="33">
        <f>ROUND(I8*(1+'02_Assumptions'!$C$25),1)</f>
        <v>69.3</v>
      </c>
      <c r="K8" s="33">
        <f>ROUND(J8*(1+'02_Assumptions'!$C$25),1)</f>
        <v>73.5</v>
      </c>
    </row>
    <row r="9" spans="1:11" ht="24" customHeight="1" x14ac:dyDescent="0.25">
      <c r="A9" s="14" t="s">
        <v>503</v>
      </c>
      <c r="B9" s="53">
        <f>ROUND('12_Revenue'!B12*0.05,1)</f>
        <v>87</v>
      </c>
      <c r="C9" s="33">
        <f>ROUND(B9*(1+'02_Assumptions'!$C$25),1)</f>
        <v>92.2</v>
      </c>
      <c r="D9" s="33">
        <f>ROUND(C9*(1+'02_Assumptions'!$C$25),1)</f>
        <v>97.7</v>
      </c>
      <c r="E9" s="33">
        <f>ROUND(D9*(1+'02_Assumptions'!$C$25),1)</f>
        <v>103.6</v>
      </c>
      <c r="F9" s="33">
        <f>ROUND(E9*(1+'02_Assumptions'!$C$25),1)</f>
        <v>109.8</v>
      </c>
      <c r="G9" s="33">
        <f>ROUND(F9*(1+'02_Assumptions'!$C$25),1)</f>
        <v>116.4</v>
      </c>
      <c r="H9" s="33">
        <f>ROUND(G9*(1+'02_Assumptions'!$C$25),1)</f>
        <v>123.4</v>
      </c>
      <c r="I9" s="33">
        <f>ROUND(H9*(1+'02_Assumptions'!$C$25),1)</f>
        <v>130.80000000000001</v>
      </c>
      <c r="J9" s="33">
        <f>ROUND(I9*(1+'02_Assumptions'!$C$25),1)</f>
        <v>138.6</v>
      </c>
      <c r="K9" s="33">
        <f>ROUND(J9*(1+'02_Assumptions'!$C$25),1)</f>
        <v>146.9</v>
      </c>
    </row>
    <row r="10" spans="1:11" ht="24" customHeight="1" x14ac:dyDescent="0.25">
      <c r="A10" s="27" t="s">
        <v>504</v>
      </c>
      <c r="B10" s="54">
        <f t="shared" ref="B10:K10" si="1">B4+B5+B6+B7+B8+B9</f>
        <v>1981.9</v>
      </c>
      <c r="C10" s="54">
        <f t="shared" si="1"/>
        <v>2331.7999999999997</v>
      </c>
      <c r="D10" s="54">
        <f t="shared" si="1"/>
        <v>2725.1</v>
      </c>
      <c r="E10" s="54">
        <f t="shared" si="1"/>
        <v>3166.8</v>
      </c>
      <c r="F10" s="54">
        <f t="shared" si="1"/>
        <v>3662.0000000000005</v>
      </c>
      <c r="G10" s="54">
        <f t="shared" si="1"/>
        <v>3938.7</v>
      </c>
      <c r="H10" s="54">
        <f t="shared" si="1"/>
        <v>4236.5999999999995</v>
      </c>
      <c r="I10" s="54">
        <f t="shared" si="1"/>
        <v>4557.1999999999989</v>
      </c>
      <c r="J10" s="54">
        <f t="shared" si="1"/>
        <v>4902.4000000000005</v>
      </c>
      <c r="K10" s="54">
        <f t="shared" si="1"/>
        <v>5274.0999999999995</v>
      </c>
    </row>
    <row r="11" spans="1:11" ht="24" customHeight="1" x14ac:dyDescent="0.25">
      <c r="A11" s="27" t="s">
        <v>505</v>
      </c>
      <c r="B11" s="54">
        <f>'12_Revenue'!B12-B10</f>
        <v>-241.40000000000009</v>
      </c>
      <c r="C11" s="54">
        <f>'12_Revenue'!C12-C10</f>
        <v>19.599999999999909</v>
      </c>
      <c r="D11" s="54">
        <f>'12_Revenue'!D12-D10</f>
        <v>356.40000000000009</v>
      </c>
      <c r="E11" s="54">
        <f>'12_Revenue'!E12-E10</f>
        <v>600.49999999999955</v>
      </c>
      <c r="F11" s="54">
        <f>'12_Revenue'!F12-F10</f>
        <v>899.19999999999936</v>
      </c>
      <c r="G11" s="54">
        <f>'12_Revenue'!G12-G10</f>
        <v>896.19999999999982</v>
      </c>
      <c r="H11" s="54">
        <f>'12_Revenue'!H12-H10</f>
        <v>888.40000000000055</v>
      </c>
      <c r="I11" s="54">
        <f>'12_Revenue'!I12-I10</f>
        <v>875.30000000000109</v>
      </c>
      <c r="J11" s="54">
        <f>'12_Revenue'!J12-J10</f>
        <v>855.99999999999909</v>
      </c>
      <c r="K11" s="54">
        <f>'12_Revenue'!K12-K10</f>
        <v>829.80000000000018</v>
      </c>
    </row>
    <row r="12" spans="1:11" ht="24" customHeight="1" x14ac:dyDescent="0.25">
      <c r="A12" s="27" t="s">
        <v>506</v>
      </c>
      <c r="B12" s="39">
        <f>B11/'12_Revenue'!B12</f>
        <v>-0.13869577707555306</v>
      </c>
      <c r="C12" s="39">
        <f>C11/'12_Revenue'!C12</f>
        <v>8.3354597261205716E-3</v>
      </c>
      <c r="D12" s="39">
        <f>D11/'12_Revenue'!D12</f>
        <v>0.1156579587863054</v>
      </c>
      <c r="E12" s="39">
        <f>E11/'12_Revenue'!E12</f>
        <v>0.15939797733124508</v>
      </c>
      <c r="F12" s="39">
        <f>F11/'12_Revenue'!F12</f>
        <v>0.19714110321845116</v>
      </c>
      <c r="G12" s="39">
        <f>G11/'12_Revenue'!G12</f>
        <v>0.1853606072514426</v>
      </c>
      <c r="H12" s="39">
        <f>H11/'12_Revenue'!H12</f>
        <v>0.17334634146341474</v>
      </c>
      <c r="I12" s="39">
        <f>I11/'12_Revenue'!I12</f>
        <v>0.16112287160607475</v>
      </c>
      <c r="J12" s="39">
        <f>J11/'12_Revenue'!J12</f>
        <v>0.14865240344540134</v>
      </c>
      <c r="K12" s="39">
        <f>K11/'12_Revenue'!K12</f>
        <v>0.13594587067284855</v>
      </c>
    </row>
    <row r="14" spans="1:11" x14ac:dyDescent="0.25">
      <c r="A14" s="63" t="s">
        <v>507</v>
      </c>
      <c r="B14" s="64"/>
      <c r="C14" s="64"/>
      <c r="D14" s="64"/>
      <c r="E14" s="64"/>
      <c r="F14" s="64"/>
      <c r="G14" s="64"/>
      <c r="H14" s="64"/>
      <c r="I14" s="64"/>
      <c r="J14" s="64"/>
    </row>
    <row r="15" spans="1:11" x14ac:dyDescent="0.25">
      <c r="A15" s="14" t="s">
        <v>508</v>
      </c>
      <c r="B15" s="37">
        <f>'09_Manpower'!$G$22</f>
        <v>223</v>
      </c>
      <c r="C15" s="37">
        <f>MIN('09_Manpower'!$G$22+('09_Manpower'!$H$22-'09_Manpower'!$G$22)/4*(2-1),'09_Manpower'!$H$22)</f>
        <v>254.5</v>
      </c>
      <c r="D15" s="37">
        <f>MIN('09_Manpower'!$G$22+('09_Manpower'!$H$22-'09_Manpower'!$G$22)/4*(3-1),'09_Manpower'!$H$22)</f>
        <v>286</v>
      </c>
      <c r="E15" s="37">
        <f>MIN('09_Manpower'!$G$22+('09_Manpower'!$H$22-'09_Manpower'!$G$22)/4*(4-1),'09_Manpower'!$H$22)</f>
        <v>317.5</v>
      </c>
      <c r="F15" s="37">
        <f>MIN('09_Manpower'!$G$22+('09_Manpower'!$H$22-'09_Manpower'!$G$22)/4*(5-1),'09_Manpower'!$H$22)</f>
        <v>349</v>
      </c>
      <c r="G15" s="37">
        <f>MIN('09_Manpower'!$G$22+('09_Manpower'!$H$22-'09_Manpower'!$G$22)/4*(6-1),'09_Manpower'!$H$22)</f>
        <v>349</v>
      </c>
      <c r="H15" s="37">
        <f>MIN('09_Manpower'!$G$22+('09_Manpower'!$H$22-'09_Manpower'!$G$22)/4*(7-1),'09_Manpower'!$H$22)</f>
        <v>349</v>
      </c>
      <c r="I15" s="37">
        <f>MIN('09_Manpower'!$G$22+('09_Manpower'!$H$22-'09_Manpower'!$G$22)/4*(8-1),'09_Manpower'!$H$22)</f>
        <v>349</v>
      </c>
      <c r="J15" s="37">
        <f>MIN('09_Manpower'!$G$22+('09_Manpower'!$H$22-'09_Manpower'!$G$22)/4*(9-1),'09_Manpower'!$H$22)</f>
        <v>349</v>
      </c>
      <c r="K15" s="37">
        <f>MIN('09_Manpower'!$G$22+('09_Manpower'!$H$22-'09_Manpower'!$G$22)/4*(10-1),'09_Manpower'!$H$22)</f>
        <v>349</v>
      </c>
    </row>
    <row r="16" spans="1:11" x14ac:dyDescent="0.25">
      <c r="A16" s="14" t="s">
        <v>509</v>
      </c>
      <c r="B16" s="53">
        <f>6</f>
        <v>6</v>
      </c>
      <c r="C16" s="33">
        <f>B16*(1+'02_Assumptions'!$C$26)</f>
        <v>6.48</v>
      </c>
      <c r="D16" s="33">
        <f>C16*(1+'02_Assumptions'!$C$26)</f>
        <v>6.9984000000000011</v>
      </c>
      <c r="E16" s="33">
        <f>D16*(1+'02_Assumptions'!$C$26)</f>
        <v>7.5582720000000014</v>
      </c>
      <c r="F16" s="33">
        <f>E16*(1+'02_Assumptions'!$C$26)</f>
        <v>8.1629337600000014</v>
      </c>
      <c r="G16" s="33">
        <f>F16*(1+'02_Assumptions'!$C$26)</f>
        <v>8.8159684608000024</v>
      </c>
      <c r="H16" s="33">
        <f>G16*(1+'02_Assumptions'!$C$26)</f>
        <v>9.5212459376640037</v>
      </c>
      <c r="I16" s="33">
        <f>H16*(1+'02_Assumptions'!$C$26)</f>
        <v>10.282945612677125</v>
      </c>
      <c r="J16" s="33">
        <f>I16*(1+'02_Assumptions'!$C$26)</f>
        <v>11.105581261691295</v>
      </c>
      <c r="K16" s="33">
        <f>J16*(1+'02_Assumptions'!$C$26)</f>
        <v>11.994027762626599</v>
      </c>
    </row>
  </sheetData>
  <mergeCells count="3">
    <mergeCell ref="A2:K2"/>
    <mergeCell ref="A1:K1"/>
    <mergeCell ref="A14:J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K14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34" customWidth="1"/>
    <col min="2" max="11" width="13" customWidth="1"/>
  </cols>
  <sheetData>
    <row r="1" spans="1:11" ht="20.25" x14ac:dyDescent="0.3">
      <c r="A1" s="66" t="s">
        <v>510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x14ac:dyDescent="0.25">
      <c r="A2" s="65" t="s">
        <v>511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1" x14ac:dyDescent="0.25">
      <c r="A3" s="27"/>
      <c r="B3" s="52" t="s">
        <v>488</v>
      </c>
      <c r="C3" s="52" t="s">
        <v>489</v>
      </c>
      <c r="D3" s="52" t="s">
        <v>490</v>
      </c>
      <c r="E3" s="52" t="s">
        <v>491</v>
      </c>
      <c r="F3" s="52" t="s">
        <v>492</v>
      </c>
      <c r="G3" s="52" t="s">
        <v>493</v>
      </c>
      <c r="H3" s="52" t="s">
        <v>494</v>
      </c>
      <c r="I3" s="52" t="s">
        <v>495</v>
      </c>
      <c r="J3" s="52" t="s">
        <v>496</v>
      </c>
      <c r="K3" s="52" t="s">
        <v>497</v>
      </c>
    </row>
    <row r="4" spans="1:11" ht="26.1" customHeight="1" x14ac:dyDescent="0.25">
      <c r="A4" s="20" t="s">
        <v>512</v>
      </c>
      <c r="B4" s="37">
        <f>'02_Assumptions'!$C$5</f>
        <v>78</v>
      </c>
      <c r="C4" s="37">
        <f>MIN('02_Assumptions'!$C$5+('02_Assumptions'!$C$6-'02_Assumptions'!$C$5)/4*(2-1),'02_Assumptions'!$C$6)</f>
        <v>83.5</v>
      </c>
      <c r="D4" s="37">
        <f>MIN('02_Assumptions'!$C$5+('02_Assumptions'!$C$6-'02_Assumptions'!$C$5)/4*(3-1),'02_Assumptions'!$C$6)</f>
        <v>89</v>
      </c>
      <c r="E4" s="37">
        <f>MIN('02_Assumptions'!$C$5+('02_Assumptions'!$C$6-'02_Assumptions'!$C$5)/4*(4-1),'02_Assumptions'!$C$6)</f>
        <v>94.5</v>
      </c>
      <c r="F4" s="37">
        <f>MIN('02_Assumptions'!$C$5+('02_Assumptions'!$C$6-'02_Assumptions'!$C$5)/4*(5-1),'02_Assumptions'!$C$6)</f>
        <v>100</v>
      </c>
      <c r="G4" s="37">
        <f>MIN('02_Assumptions'!$C$5+('02_Assumptions'!$C$6-'02_Assumptions'!$C$5)/4*(6-1),'02_Assumptions'!$C$6)</f>
        <v>100</v>
      </c>
      <c r="H4" s="37">
        <f>MIN('02_Assumptions'!$C$5+('02_Assumptions'!$C$6-'02_Assumptions'!$C$5)/4*(7-1),'02_Assumptions'!$C$6)</f>
        <v>100</v>
      </c>
      <c r="I4" s="37">
        <f>MIN('02_Assumptions'!$C$5+('02_Assumptions'!$C$6-'02_Assumptions'!$C$5)/4*(8-1),'02_Assumptions'!$C$6)</f>
        <v>100</v>
      </c>
      <c r="J4" s="37">
        <f>MIN('02_Assumptions'!$C$5+('02_Assumptions'!$C$6-'02_Assumptions'!$C$5)/4*(9-1),'02_Assumptions'!$C$6)</f>
        <v>100</v>
      </c>
      <c r="K4" s="37">
        <f>MIN('02_Assumptions'!$C$5+('02_Assumptions'!$C$6-'02_Assumptions'!$C$5)/4*(10-1),'02_Assumptions'!$C$6)</f>
        <v>100</v>
      </c>
    </row>
    <row r="5" spans="1:11" ht="26.1" customHeight="1" x14ac:dyDescent="0.25">
      <c r="A5" s="20" t="s">
        <v>513</v>
      </c>
      <c r="B5" s="41">
        <f>'02_Assumptions'!$C$18</f>
        <v>0.42</v>
      </c>
      <c r="C5" s="41">
        <f>'02_Assumptions'!$C$18+('02_Assumptions'!$C$19-'02_Assumptions'!$C$18)/2*(2-1)</f>
        <v>0.5</v>
      </c>
      <c r="D5" s="41">
        <f>'02_Assumptions'!$C$18+('02_Assumptions'!$C$19-'02_Assumptions'!$C$18)/2*(3-1)</f>
        <v>0.57999999999999996</v>
      </c>
      <c r="E5" s="41">
        <f>'02_Assumptions'!$C$19+('02_Assumptions'!$C$20-'02_Assumptions'!$C$19)/2*(4-3)</f>
        <v>0.63</v>
      </c>
      <c r="F5" s="41">
        <f>'02_Assumptions'!$C$19+('02_Assumptions'!$C$20-'02_Assumptions'!$C$19)/2*(5-3)</f>
        <v>0.68</v>
      </c>
      <c r="G5" s="41">
        <f>'02_Assumptions'!$C$20</f>
        <v>0.68</v>
      </c>
      <c r="H5" s="41">
        <f>'02_Assumptions'!$C$20</f>
        <v>0.68</v>
      </c>
      <c r="I5" s="41">
        <f>'02_Assumptions'!$C$20</f>
        <v>0.68</v>
      </c>
      <c r="J5" s="41">
        <f>'02_Assumptions'!$C$20</f>
        <v>0.68</v>
      </c>
      <c r="K5" s="41">
        <f>'02_Assumptions'!$C$20</f>
        <v>0.68</v>
      </c>
    </row>
    <row r="6" spans="1:11" ht="26.1" customHeight="1" x14ac:dyDescent="0.25">
      <c r="A6" s="20" t="s">
        <v>514</v>
      </c>
      <c r="B6" s="25">
        <f t="shared" ref="B6:K6" si="0">ROUND(B4*B5*365,0)</f>
        <v>11957</v>
      </c>
      <c r="C6" s="25">
        <f t="shared" si="0"/>
        <v>15239</v>
      </c>
      <c r="D6" s="25">
        <f t="shared" si="0"/>
        <v>18841</v>
      </c>
      <c r="E6" s="25">
        <f t="shared" si="0"/>
        <v>21730</v>
      </c>
      <c r="F6" s="25">
        <f t="shared" si="0"/>
        <v>24820</v>
      </c>
      <c r="G6" s="25">
        <f t="shared" si="0"/>
        <v>24820</v>
      </c>
      <c r="H6" s="25">
        <f t="shared" si="0"/>
        <v>24820</v>
      </c>
      <c r="I6" s="25">
        <f t="shared" si="0"/>
        <v>24820</v>
      </c>
      <c r="J6" s="25">
        <f t="shared" si="0"/>
        <v>24820</v>
      </c>
      <c r="K6" s="25">
        <f t="shared" si="0"/>
        <v>24820</v>
      </c>
    </row>
    <row r="7" spans="1:11" ht="26.1" customHeight="1" x14ac:dyDescent="0.25">
      <c r="A7" s="20" t="s">
        <v>515</v>
      </c>
      <c r="B7" s="15">
        <f>9500</f>
        <v>9500</v>
      </c>
      <c r="C7" s="25">
        <f>B7*(1+'02_Assumptions'!$C$24)</f>
        <v>10070</v>
      </c>
      <c r="D7" s="25">
        <f>C7*(1+'02_Assumptions'!$C$24)</f>
        <v>10674.2</v>
      </c>
      <c r="E7" s="25">
        <f>D7*(1+'02_Assumptions'!$C$24)</f>
        <v>11314.652000000002</v>
      </c>
      <c r="F7" s="25">
        <f>E7*(1+'02_Assumptions'!$C$24)</f>
        <v>11993.531120000003</v>
      </c>
      <c r="G7" s="25">
        <f>F7*(1+'02_Assumptions'!$C$24)</f>
        <v>12713.142987200004</v>
      </c>
      <c r="H7" s="25">
        <f>G7*(1+'02_Assumptions'!$C$24)</f>
        <v>13475.931566432006</v>
      </c>
      <c r="I7" s="25">
        <f>H7*(1+'02_Assumptions'!$C$24)</f>
        <v>14284.487460417926</v>
      </c>
      <c r="J7" s="25">
        <f>I7*(1+'02_Assumptions'!$C$24)</f>
        <v>15141.556708043003</v>
      </c>
      <c r="K7" s="25">
        <f>J7*(1+'02_Assumptions'!$C$24)</f>
        <v>16050.050110525584</v>
      </c>
    </row>
    <row r="8" spans="1:11" ht="26.1" customHeight="1" x14ac:dyDescent="0.25">
      <c r="A8" s="20" t="s">
        <v>516</v>
      </c>
      <c r="B8" s="33">
        <f t="shared" ref="B8:K8" si="1">ROUND(B6*B7/100000,1)</f>
        <v>1135.9000000000001</v>
      </c>
      <c r="C8" s="33">
        <f t="shared" si="1"/>
        <v>1534.6</v>
      </c>
      <c r="D8" s="33">
        <f t="shared" si="1"/>
        <v>2011.1</v>
      </c>
      <c r="E8" s="33">
        <f t="shared" si="1"/>
        <v>2458.6999999999998</v>
      </c>
      <c r="F8" s="33">
        <f t="shared" si="1"/>
        <v>2976.8</v>
      </c>
      <c r="G8" s="33">
        <f t="shared" si="1"/>
        <v>3155.4</v>
      </c>
      <c r="H8" s="33">
        <f t="shared" si="1"/>
        <v>3344.7</v>
      </c>
      <c r="I8" s="33">
        <f t="shared" si="1"/>
        <v>3545.4</v>
      </c>
      <c r="J8" s="33">
        <f t="shared" si="1"/>
        <v>3758.1</v>
      </c>
      <c r="K8" s="33">
        <f t="shared" si="1"/>
        <v>3983.6</v>
      </c>
    </row>
    <row r="9" spans="1:11" ht="26.1" customHeight="1" x14ac:dyDescent="0.25">
      <c r="A9" s="20" t="s">
        <v>517</v>
      </c>
      <c r="B9" s="33">
        <f>ROUND(B8/'02_Assumptions'!$C$22,1)</f>
        <v>1832.1</v>
      </c>
      <c r="C9" s="33">
        <f>ROUND(C8/'02_Assumptions'!$C$22,1)</f>
        <v>2475.1999999999998</v>
      </c>
      <c r="D9" s="33">
        <f>ROUND(D8/'02_Assumptions'!$C$22,1)</f>
        <v>3243.7</v>
      </c>
      <c r="E9" s="33">
        <f>ROUND(E8/'02_Assumptions'!$C$22,1)</f>
        <v>3965.6</v>
      </c>
      <c r="F9" s="33">
        <f>ROUND(F8/'02_Assumptions'!$C$22,1)</f>
        <v>4801.3</v>
      </c>
      <c r="G9" s="33">
        <f>ROUND(G8/'02_Assumptions'!$C$22,1)</f>
        <v>5089.3999999999996</v>
      </c>
      <c r="H9" s="33">
        <f>ROUND(H8/'02_Assumptions'!$C$22,1)</f>
        <v>5394.7</v>
      </c>
      <c r="I9" s="33">
        <f>ROUND(I8/'02_Assumptions'!$C$22,1)</f>
        <v>5718.4</v>
      </c>
      <c r="J9" s="33">
        <f>ROUND(J8/'02_Assumptions'!$C$22,1)</f>
        <v>6061.5</v>
      </c>
      <c r="K9" s="33">
        <f>ROUND(K8/'02_Assumptions'!$C$22,1)</f>
        <v>6425.2</v>
      </c>
    </row>
    <row r="10" spans="1:11" ht="26.1" customHeight="1" x14ac:dyDescent="0.25">
      <c r="A10" s="20" t="s">
        <v>518</v>
      </c>
      <c r="B10" s="33">
        <f t="shared" ref="B10:K10" si="2">B9-B8</f>
        <v>696.19999999999982</v>
      </c>
      <c r="C10" s="33">
        <f t="shared" si="2"/>
        <v>940.59999999999991</v>
      </c>
      <c r="D10" s="33">
        <f t="shared" si="2"/>
        <v>1232.5999999999999</v>
      </c>
      <c r="E10" s="33">
        <f t="shared" si="2"/>
        <v>1506.9</v>
      </c>
      <c r="F10" s="33">
        <f t="shared" si="2"/>
        <v>1824.5</v>
      </c>
      <c r="G10" s="33">
        <f t="shared" si="2"/>
        <v>1933.9999999999995</v>
      </c>
      <c r="H10" s="33">
        <f t="shared" si="2"/>
        <v>2050</v>
      </c>
      <c r="I10" s="33">
        <f t="shared" si="2"/>
        <v>2172.9999999999995</v>
      </c>
      <c r="J10" s="33">
        <f t="shared" si="2"/>
        <v>2303.4</v>
      </c>
      <c r="K10" s="33">
        <f t="shared" si="2"/>
        <v>2441.6</v>
      </c>
    </row>
    <row r="11" spans="1:11" ht="26.1" customHeight="1" x14ac:dyDescent="0.25">
      <c r="A11" s="20" t="s">
        <v>519</v>
      </c>
      <c r="B11" s="55">
        <f>ROUND(B9*'02_Assumptions'!$C$27,1)</f>
        <v>91.6</v>
      </c>
      <c r="C11" s="55">
        <f>ROUND(C9*'02_Assumptions'!$C$27,1)</f>
        <v>123.8</v>
      </c>
      <c r="D11" s="55">
        <f>ROUND(D9*'02_Assumptions'!$C$27,1)</f>
        <v>162.19999999999999</v>
      </c>
      <c r="E11" s="55">
        <f>ROUND(E9*'02_Assumptions'!$C$27,1)</f>
        <v>198.3</v>
      </c>
      <c r="F11" s="55">
        <f>ROUND(F9*'02_Assumptions'!$C$27,1)</f>
        <v>240.1</v>
      </c>
      <c r="G11" s="55">
        <f>ROUND(G9*'02_Assumptions'!$C$27,1)</f>
        <v>254.5</v>
      </c>
      <c r="H11" s="55">
        <f>ROUND(H9*'02_Assumptions'!$C$27,1)</f>
        <v>269.7</v>
      </c>
      <c r="I11" s="55">
        <f>ROUND(I9*'02_Assumptions'!$C$27,1)</f>
        <v>285.89999999999998</v>
      </c>
      <c r="J11" s="55">
        <f>ROUND(J9*'02_Assumptions'!$C$27,1)</f>
        <v>303.10000000000002</v>
      </c>
      <c r="K11" s="55">
        <f>ROUND(K9*'02_Assumptions'!$C$27,1)</f>
        <v>321.3</v>
      </c>
    </row>
    <row r="12" spans="1:11" ht="26.1" customHeight="1" x14ac:dyDescent="0.25">
      <c r="A12" s="56" t="s">
        <v>520</v>
      </c>
      <c r="B12" s="54">
        <f t="shared" ref="B12:K12" si="3">B9-B11</f>
        <v>1740.5</v>
      </c>
      <c r="C12" s="54">
        <f t="shared" si="3"/>
        <v>2351.3999999999996</v>
      </c>
      <c r="D12" s="54">
        <f t="shared" si="3"/>
        <v>3081.5</v>
      </c>
      <c r="E12" s="54">
        <f t="shared" si="3"/>
        <v>3767.2999999999997</v>
      </c>
      <c r="F12" s="54">
        <f t="shared" si="3"/>
        <v>4561.2</v>
      </c>
      <c r="G12" s="54">
        <f t="shared" si="3"/>
        <v>4834.8999999999996</v>
      </c>
      <c r="H12" s="54">
        <f t="shared" si="3"/>
        <v>5125</v>
      </c>
      <c r="I12" s="54">
        <f t="shared" si="3"/>
        <v>5432.5</v>
      </c>
      <c r="J12" s="54">
        <f t="shared" si="3"/>
        <v>5758.4</v>
      </c>
      <c r="K12" s="54">
        <f t="shared" si="3"/>
        <v>6103.9</v>
      </c>
    </row>
    <row r="14" spans="1:11" x14ac:dyDescent="0.25">
      <c r="A14" s="63" t="s">
        <v>521</v>
      </c>
      <c r="B14" s="64"/>
      <c r="C14" s="64"/>
      <c r="D14" s="64"/>
      <c r="E14" s="64"/>
      <c r="F14" s="64"/>
      <c r="G14" s="64"/>
      <c r="H14" s="64"/>
      <c r="I14" s="64"/>
      <c r="J14" s="64"/>
    </row>
  </sheetData>
  <mergeCells count="3">
    <mergeCell ref="A2:K2"/>
    <mergeCell ref="A1:K1"/>
    <mergeCell ref="A14:J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K15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34" customWidth="1"/>
    <col min="2" max="11" width="13" customWidth="1"/>
  </cols>
  <sheetData>
    <row r="1" spans="1:11" ht="20.25" x14ac:dyDescent="0.3">
      <c r="A1" s="66" t="s">
        <v>522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x14ac:dyDescent="0.25">
      <c r="A2" s="65" t="s">
        <v>523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1" x14ac:dyDescent="0.25">
      <c r="A3" s="27"/>
      <c r="B3" s="52" t="s">
        <v>488</v>
      </c>
      <c r="C3" s="52" t="s">
        <v>489</v>
      </c>
      <c r="D3" s="52" t="s">
        <v>490</v>
      </c>
      <c r="E3" s="52" t="s">
        <v>491</v>
      </c>
      <c r="F3" s="52" t="s">
        <v>492</v>
      </c>
      <c r="G3" s="52" t="s">
        <v>493</v>
      </c>
      <c r="H3" s="52" t="s">
        <v>494</v>
      </c>
      <c r="I3" s="52" t="s">
        <v>495</v>
      </c>
      <c r="J3" s="52" t="s">
        <v>496</v>
      </c>
      <c r="K3" s="52" t="s">
        <v>497</v>
      </c>
    </row>
    <row r="4" spans="1:11" ht="21.95" customHeight="1" x14ac:dyDescent="0.25">
      <c r="A4" s="14" t="s">
        <v>524</v>
      </c>
      <c r="B4" s="55">
        <f>'12_Revenue'!B12</f>
        <v>1740.5</v>
      </c>
      <c r="C4" s="55">
        <f>'12_Revenue'!C12</f>
        <v>2351.3999999999996</v>
      </c>
      <c r="D4" s="55">
        <f>'12_Revenue'!D12</f>
        <v>3081.5</v>
      </c>
      <c r="E4" s="55">
        <f>'12_Revenue'!E12</f>
        <v>3767.2999999999997</v>
      </c>
      <c r="F4" s="55">
        <f>'12_Revenue'!F12</f>
        <v>4561.2</v>
      </c>
      <c r="G4" s="55">
        <f>'12_Revenue'!G12</f>
        <v>4834.8999999999996</v>
      </c>
      <c r="H4" s="55">
        <f>'12_Revenue'!H12</f>
        <v>5125</v>
      </c>
      <c r="I4" s="55">
        <f>'12_Revenue'!I12</f>
        <v>5432.5</v>
      </c>
      <c r="J4" s="55">
        <f>'12_Revenue'!J12</f>
        <v>5758.4</v>
      </c>
      <c r="K4" s="55">
        <f>'12_Revenue'!K12</f>
        <v>6103.9</v>
      </c>
    </row>
    <row r="5" spans="1:11" ht="21.95" customHeight="1" x14ac:dyDescent="0.25">
      <c r="A5" s="14" t="s">
        <v>525</v>
      </c>
      <c r="B5" s="55">
        <f>'11_OPEX'!B10</f>
        <v>1981.9</v>
      </c>
      <c r="C5" s="55">
        <f>'11_OPEX'!C10</f>
        <v>2331.7999999999997</v>
      </c>
      <c r="D5" s="55">
        <f>'11_OPEX'!D10</f>
        <v>2725.1</v>
      </c>
      <c r="E5" s="55">
        <f>'11_OPEX'!E10</f>
        <v>3166.8</v>
      </c>
      <c r="F5" s="55">
        <f>'11_OPEX'!F10</f>
        <v>3662.0000000000005</v>
      </c>
      <c r="G5" s="55">
        <f>'11_OPEX'!G10</f>
        <v>3938.7</v>
      </c>
      <c r="H5" s="55">
        <f>'11_OPEX'!H10</f>
        <v>4236.5999999999995</v>
      </c>
      <c r="I5" s="55">
        <f>'11_OPEX'!I10</f>
        <v>4557.1999999999989</v>
      </c>
      <c r="J5" s="55">
        <f>'11_OPEX'!J10</f>
        <v>4902.4000000000005</v>
      </c>
      <c r="K5" s="55">
        <f>'11_OPEX'!K10</f>
        <v>5274.0999999999995</v>
      </c>
    </row>
    <row r="6" spans="1:11" ht="21.95" customHeight="1" x14ac:dyDescent="0.25">
      <c r="A6" s="27" t="s">
        <v>505</v>
      </c>
      <c r="B6" s="54">
        <f t="shared" ref="B6:K6" si="0">B4-B5</f>
        <v>-241.40000000000009</v>
      </c>
      <c r="C6" s="54">
        <f t="shared" si="0"/>
        <v>19.599999999999909</v>
      </c>
      <c r="D6" s="54">
        <f t="shared" si="0"/>
        <v>356.40000000000009</v>
      </c>
      <c r="E6" s="54">
        <f t="shared" si="0"/>
        <v>600.49999999999955</v>
      </c>
      <c r="F6" s="54">
        <f t="shared" si="0"/>
        <v>899.19999999999936</v>
      </c>
      <c r="G6" s="54">
        <f t="shared" si="0"/>
        <v>896.19999999999982</v>
      </c>
      <c r="H6" s="54">
        <f t="shared" si="0"/>
        <v>888.40000000000055</v>
      </c>
      <c r="I6" s="54">
        <f t="shared" si="0"/>
        <v>875.30000000000109</v>
      </c>
      <c r="J6" s="54">
        <f t="shared" si="0"/>
        <v>855.99999999999909</v>
      </c>
      <c r="K6" s="54">
        <f t="shared" si="0"/>
        <v>829.80000000000018</v>
      </c>
    </row>
    <row r="7" spans="1:11" ht="21.95" customHeight="1" x14ac:dyDescent="0.25">
      <c r="A7" s="14" t="s">
        <v>526</v>
      </c>
      <c r="B7" s="33">
        <f>ROUND('10_CAPEX'!$C$11*100*0.62*'02_Assumptions'!$C$28+'10_CAPEX'!$C$11*100*0.29*'02_Assumptions'!$C$29,1)</f>
        <v>238</v>
      </c>
      <c r="C7" s="33">
        <f>ROUND('10_CAPEX'!$C$11*100*0.62*'02_Assumptions'!$C$28+'10_CAPEX'!$C$11*100*0.29*'02_Assumptions'!$C$29,1)</f>
        <v>238</v>
      </c>
      <c r="D7" s="33">
        <f>ROUND('10_CAPEX'!$C$11*100*0.62*'02_Assumptions'!$C$28+'10_CAPEX'!$C$11*100*0.29*'02_Assumptions'!$C$29,1)</f>
        <v>238</v>
      </c>
      <c r="E7" s="33">
        <f>ROUND('10_CAPEX'!$C$11*100*0.62*'02_Assumptions'!$C$28+'10_CAPEX'!$C$11*100*0.29*'02_Assumptions'!$C$29,1)</f>
        <v>238</v>
      </c>
      <c r="F7" s="33">
        <f>ROUND('10_CAPEX'!$C$11*100*0.62*'02_Assumptions'!$C$28+'10_CAPEX'!$C$11*100*0.29*'02_Assumptions'!$C$29,1)</f>
        <v>238</v>
      </c>
      <c r="G7" s="33">
        <f>ROUND('10_CAPEX'!$C$11*100*0.62*'02_Assumptions'!$C$28+'10_CAPEX'!$C$11*100*0.29*'02_Assumptions'!$C$29,1)</f>
        <v>238</v>
      </c>
      <c r="H7" s="33">
        <f>ROUND('10_CAPEX'!$C$11*100*0.62*'02_Assumptions'!$C$28+'10_CAPEX'!$C$11*100*0.29*'02_Assumptions'!$C$29,1)</f>
        <v>238</v>
      </c>
      <c r="I7" s="33">
        <f>ROUND('10_CAPEX'!$C$11*100*0.62*'02_Assumptions'!$C$28+'10_CAPEX'!$C$11*100*0.29*'02_Assumptions'!$C$29,1)</f>
        <v>238</v>
      </c>
      <c r="J7" s="33">
        <f>ROUND('10_CAPEX'!$C$11*100*0.62*'02_Assumptions'!$C$28+'10_CAPEX'!$C$11*100*0.29*'02_Assumptions'!$C$29,1)</f>
        <v>238</v>
      </c>
      <c r="K7" s="33">
        <f>ROUND('10_CAPEX'!$C$11*100*0.62*'02_Assumptions'!$C$28+'10_CAPEX'!$C$11*100*0.29*'02_Assumptions'!$C$29,1)</f>
        <v>238</v>
      </c>
    </row>
    <row r="8" spans="1:11" ht="21.95" customHeight="1" x14ac:dyDescent="0.25">
      <c r="A8" s="27" t="s">
        <v>527</v>
      </c>
      <c r="B8" s="35">
        <f t="shared" ref="B8:K8" si="1">B6-B7</f>
        <v>-479.40000000000009</v>
      </c>
      <c r="C8" s="35">
        <f t="shared" si="1"/>
        <v>-218.40000000000009</v>
      </c>
      <c r="D8" s="35">
        <f t="shared" si="1"/>
        <v>118.40000000000009</v>
      </c>
      <c r="E8" s="35">
        <f t="shared" si="1"/>
        <v>362.49999999999955</v>
      </c>
      <c r="F8" s="35">
        <f t="shared" si="1"/>
        <v>661.19999999999936</v>
      </c>
      <c r="G8" s="35">
        <f t="shared" si="1"/>
        <v>658.19999999999982</v>
      </c>
      <c r="H8" s="35">
        <f t="shared" si="1"/>
        <v>650.40000000000055</v>
      </c>
      <c r="I8" s="35">
        <f t="shared" si="1"/>
        <v>637.30000000000109</v>
      </c>
      <c r="J8" s="35">
        <f t="shared" si="1"/>
        <v>617.99999999999909</v>
      </c>
      <c r="K8" s="35">
        <f t="shared" si="1"/>
        <v>591.80000000000018</v>
      </c>
    </row>
    <row r="9" spans="1:11" ht="21.95" customHeight="1" x14ac:dyDescent="0.25">
      <c r="A9" s="14" t="s">
        <v>528</v>
      </c>
      <c r="B9" s="33">
        <f>IF(1&lt;='02_Assumptions'!$C$15,MAX('10_CAPEX'!$B$15*100-('10_CAPEX'!$B$15*100/'02_Assumptions'!$C$15)*(1-1),0)*'02_Assumptions'!$C$14,0)</f>
        <v>341.25</v>
      </c>
      <c r="C9" s="33">
        <f>IF(2&lt;='02_Assumptions'!$C$15,MAX('10_CAPEX'!$B$15*100-('10_CAPEX'!$B$15*100/'02_Assumptions'!$C$15)*(2-1),0)*'02_Assumptions'!$C$14,0)</f>
        <v>307.125</v>
      </c>
      <c r="D9" s="33">
        <f>IF(3&lt;='02_Assumptions'!$C$15,MAX('10_CAPEX'!$B$15*100-('10_CAPEX'!$B$15*100/'02_Assumptions'!$C$15)*(3-1),0)*'02_Assumptions'!$C$14,0)</f>
        <v>273</v>
      </c>
      <c r="E9" s="33">
        <f>IF(4&lt;='02_Assumptions'!$C$15,MAX('10_CAPEX'!$B$15*100-('10_CAPEX'!$B$15*100/'02_Assumptions'!$C$15)*(4-1),0)*'02_Assumptions'!$C$14,0)</f>
        <v>238.875</v>
      </c>
      <c r="F9" s="33">
        <f>IF(5&lt;='02_Assumptions'!$C$15,MAX('10_CAPEX'!$B$15*100-('10_CAPEX'!$B$15*100/'02_Assumptions'!$C$15)*(5-1),0)*'02_Assumptions'!$C$14,0)</f>
        <v>204.75</v>
      </c>
      <c r="G9" s="33">
        <f>IF(6&lt;='02_Assumptions'!$C$15,MAX('10_CAPEX'!$B$15*100-('10_CAPEX'!$B$15*100/'02_Assumptions'!$C$15)*(6-1),0)*'02_Assumptions'!$C$14,0)</f>
        <v>170.625</v>
      </c>
      <c r="H9" s="33">
        <f>IF(7&lt;='02_Assumptions'!$C$15,MAX('10_CAPEX'!$B$15*100-('10_CAPEX'!$B$15*100/'02_Assumptions'!$C$15)*(7-1),0)*'02_Assumptions'!$C$14,0)</f>
        <v>136.5</v>
      </c>
      <c r="I9" s="33">
        <f>IF(8&lt;='02_Assumptions'!$C$15,MAX('10_CAPEX'!$B$15*100-('10_CAPEX'!$B$15*100/'02_Assumptions'!$C$15)*(8-1),0)*'02_Assumptions'!$C$14,0)</f>
        <v>102.375</v>
      </c>
      <c r="J9" s="33">
        <f>IF(9&lt;='02_Assumptions'!$C$15,MAX('10_CAPEX'!$B$15*100-('10_CAPEX'!$B$15*100/'02_Assumptions'!$C$15)*(9-1),0)*'02_Assumptions'!$C$14,0)</f>
        <v>68.25</v>
      </c>
      <c r="K9" s="33">
        <f>IF(10&lt;='02_Assumptions'!$C$15,MAX('10_CAPEX'!$B$15*100-('10_CAPEX'!$B$15*100/'02_Assumptions'!$C$15)*(10-1),0)*'02_Assumptions'!$C$14,0)</f>
        <v>34.125</v>
      </c>
    </row>
    <row r="10" spans="1:11" ht="21.95" customHeight="1" x14ac:dyDescent="0.25">
      <c r="A10" s="14" t="s">
        <v>529</v>
      </c>
      <c r="B10" s="33">
        <f t="shared" ref="B10:K10" si="2">B8-B9</f>
        <v>-820.65000000000009</v>
      </c>
      <c r="C10" s="33">
        <f t="shared" si="2"/>
        <v>-525.52500000000009</v>
      </c>
      <c r="D10" s="33">
        <f t="shared" si="2"/>
        <v>-154.59999999999991</v>
      </c>
      <c r="E10" s="33">
        <f t="shared" si="2"/>
        <v>123.62499999999955</v>
      </c>
      <c r="F10" s="33">
        <f t="shared" si="2"/>
        <v>456.44999999999936</v>
      </c>
      <c r="G10" s="33">
        <f t="shared" si="2"/>
        <v>487.57499999999982</v>
      </c>
      <c r="H10" s="33">
        <f t="shared" si="2"/>
        <v>513.90000000000055</v>
      </c>
      <c r="I10" s="33">
        <f t="shared" si="2"/>
        <v>534.92500000000109</v>
      </c>
      <c r="J10" s="33">
        <f t="shared" si="2"/>
        <v>549.74999999999909</v>
      </c>
      <c r="K10" s="33">
        <f t="shared" si="2"/>
        <v>557.67500000000018</v>
      </c>
    </row>
    <row r="11" spans="1:11" ht="21.95" customHeight="1" x14ac:dyDescent="0.25">
      <c r="A11" s="14" t="s">
        <v>530</v>
      </c>
      <c r="B11" s="33">
        <f>MAX(B10,0)*'02_Assumptions'!$C$30</f>
        <v>0</v>
      </c>
      <c r="C11" s="33">
        <f>MAX(C10,0)*'02_Assumptions'!$C$30</f>
        <v>0</v>
      </c>
      <c r="D11" s="33">
        <f>MAX(D10,0)*'02_Assumptions'!$C$30</f>
        <v>0</v>
      </c>
      <c r="E11" s="33">
        <f>MAX(E10,0)*'02_Assumptions'!$C$30</f>
        <v>30.906249999999886</v>
      </c>
      <c r="F11" s="33">
        <f>MAX(F10,0)*'02_Assumptions'!$C$30</f>
        <v>114.11249999999984</v>
      </c>
      <c r="G11" s="33">
        <f>MAX(G10,0)*'02_Assumptions'!$C$30</f>
        <v>121.89374999999995</v>
      </c>
      <c r="H11" s="33">
        <f>MAX(H10,0)*'02_Assumptions'!$C$30</f>
        <v>128.47500000000014</v>
      </c>
      <c r="I11" s="33">
        <f>MAX(I10,0)*'02_Assumptions'!$C$30</f>
        <v>133.73125000000027</v>
      </c>
      <c r="J11" s="33">
        <f>MAX(J10,0)*'02_Assumptions'!$C$30</f>
        <v>137.43749999999977</v>
      </c>
      <c r="K11" s="33">
        <f>MAX(K10,0)*'02_Assumptions'!$C$30</f>
        <v>139.41875000000005</v>
      </c>
    </row>
    <row r="12" spans="1:11" ht="21.95" customHeight="1" x14ac:dyDescent="0.25">
      <c r="A12" s="27" t="s">
        <v>531</v>
      </c>
      <c r="B12" s="54">
        <f t="shared" ref="B12:K12" si="3">B10-B11</f>
        <v>-820.65000000000009</v>
      </c>
      <c r="C12" s="54">
        <f t="shared" si="3"/>
        <v>-525.52500000000009</v>
      </c>
      <c r="D12" s="54">
        <f t="shared" si="3"/>
        <v>-154.59999999999991</v>
      </c>
      <c r="E12" s="54">
        <f t="shared" si="3"/>
        <v>92.718749999999659</v>
      </c>
      <c r="F12" s="54">
        <f t="shared" si="3"/>
        <v>342.33749999999952</v>
      </c>
      <c r="G12" s="54">
        <f t="shared" si="3"/>
        <v>365.68124999999986</v>
      </c>
      <c r="H12" s="54">
        <f t="shared" si="3"/>
        <v>385.42500000000041</v>
      </c>
      <c r="I12" s="54">
        <f t="shared" si="3"/>
        <v>401.19375000000082</v>
      </c>
      <c r="J12" s="54">
        <f t="shared" si="3"/>
        <v>412.31249999999932</v>
      </c>
      <c r="K12" s="54">
        <f t="shared" si="3"/>
        <v>418.25625000000014</v>
      </c>
    </row>
    <row r="13" spans="1:11" ht="21.95" customHeight="1" x14ac:dyDescent="0.25">
      <c r="A13" s="14" t="s">
        <v>532</v>
      </c>
      <c r="B13" s="39">
        <f t="shared" ref="B13:K13" si="4">B12/B4</f>
        <v>-0.47150244182706125</v>
      </c>
      <c r="C13" s="39">
        <f t="shared" si="4"/>
        <v>-0.2234945139066089</v>
      </c>
      <c r="D13" s="39">
        <f t="shared" si="4"/>
        <v>-5.0170371572286196E-2</v>
      </c>
      <c r="E13" s="39">
        <f t="shared" si="4"/>
        <v>2.461145913518957E-2</v>
      </c>
      <c r="F13" s="39">
        <f t="shared" si="4"/>
        <v>7.5054262036306135E-2</v>
      </c>
      <c r="G13" s="39">
        <f t="shared" si="4"/>
        <v>7.5633673912593832E-2</v>
      </c>
      <c r="H13" s="39">
        <f t="shared" si="4"/>
        <v>7.5204878048780566E-2</v>
      </c>
      <c r="I13" s="39">
        <f t="shared" si="4"/>
        <v>7.3850667280257853E-2</v>
      </c>
      <c r="J13" s="39">
        <f t="shared" si="4"/>
        <v>7.1601920672408892E-2</v>
      </c>
      <c r="K13" s="39">
        <f t="shared" si="4"/>
        <v>6.8522788708858293E-2</v>
      </c>
    </row>
    <row r="15" spans="1:11" x14ac:dyDescent="0.25">
      <c r="A15" s="63" t="s">
        <v>533</v>
      </c>
      <c r="B15" s="64"/>
      <c r="C15" s="64"/>
      <c r="D15" s="64"/>
      <c r="E15" s="64"/>
      <c r="F15" s="64"/>
      <c r="G15" s="64"/>
      <c r="H15" s="64"/>
      <c r="I15" s="64"/>
      <c r="J15" s="64"/>
    </row>
  </sheetData>
  <mergeCells count="3">
    <mergeCell ref="A2:K2"/>
    <mergeCell ref="A15:J15"/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L15"/>
  <sheetViews>
    <sheetView showGridLines="0" workbookViewId="0">
      <pane xSplit="2" ySplit="3" topLeftCell="C4" activePane="bottomRight" state="frozen"/>
      <selection pane="topRight"/>
      <selection pane="bottomLeft"/>
      <selection pane="bottomRight" sqref="A1:L1"/>
    </sheetView>
  </sheetViews>
  <sheetFormatPr defaultRowHeight="15" x14ac:dyDescent="0.25"/>
  <cols>
    <col min="1" max="1" width="34" customWidth="1"/>
    <col min="2" max="12" width="13" customWidth="1"/>
  </cols>
  <sheetData>
    <row r="1" spans="1:12" ht="20.25" x14ac:dyDescent="0.3">
      <c r="A1" s="66" t="s">
        <v>534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x14ac:dyDescent="0.25">
      <c r="A2" s="65" t="s">
        <v>535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x14ac:dyDescent="0.25">
      <c r="A3" s="28"/>
      <c r="B3" s="52" t="s">
        <v>536</v>
      </c>
      <c r="C3" s="52" t="s">
        <v>488</v>
      </c>
      <c r="D3" s="52" t="s">
        <v>489</v>
      </c>
      <c r="E3" s="52" t="s">
        <v>490</v>
      </c>
      <c r="F3" s="52" t="s">
        <v>491</v>
      </c>
      <c r="G3" s="52" t="s">
        <v>492</v>
      </c>
      <c r="H3" s="52" t="s">
        <v>493</v>
      </c>
      <c r="I3" s="52" t="s">
        <v>494</v>
      </c>
      <c r="J3" s="52" t="s">
        <v>495</v>
      </c>
      <c r="K3" s="52" t="s">
        <v>496</v>
      </c>
      <c r="L3" s="52" t="s">
        <v>497</v>
      </c>
    </row>
    <row r="5" spans="1:12" ht="21.95" customHeight="1" x14ac:dyDescent="0.25">
      <c r="A5" s="14" t="s">
        <v>537</v>
      </c>
      <c r="B5" s="55">
        <f>-'10_CAPEX'!$C$11*100</f>
        <v>-5000</v>
      </c>
      <c r="C5" s="57">
        <v>0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7">
        <v>0</v>
      </c>
    </row>
    <row r="6" spans="1:12" ht="21.95" customHeight="1" x14ac:dyDescent="0.25">
      <c r="A6" s="14" t="s">
        <v>538</v>
      </c>
      <c r="B6" s="55">
        <f>'10_CAPEX'!$B$15*100</f>
        <v>3250</v>
      </c>
      <c r="C6" s="57">
        <v>0</v>
      </c>
      <c r="D6" s="57">
        <v>0</v>
      </c>
      <c r="E6" s="57">
        <v>0</v>
      </c>
      <c r="F6" s="57">
        <v>0</v>
      </c>
      <c r="G6" s="57">
        <v>0</v>
      </c>
      <c r="H6" s="57">
        <v>0</v>
      </c>
      <c r="I6" s="57">
        <v>0</v>
      </c>
      <c r="J6" s="57">
        <v>0</v>
      </c>
      <c r="K6" s="57">
        <v>0</v>
      </c>
      <c r="L6" s="57">
        <v>0</v>
      </c>
    </row>
    <row r="7" spans="1:12" ht="21.95" customHeight="1" x14ac:dyDescent="0.25">
      <c r="A7" s="14" t="s">
        <v>539</v>
      </c>
      <c r="B7" s="55">
        <f>'10_CAPEX'!$B$16*100</f>
        <v>1750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</row>
    <row r="8" spans="1:12" ht="21.95" customHeight="1" x14ac:dyDescent="0.25">
      <c r="A8" s="14" t="s">
        <v>531</v>
      </c>
      <c r="B8" s="33">
        <v>0</v>
      </c>
      <c r="C8" s="55">
        <f>'13_PL'!B12</f>
        <v>-820.65000000000009</v>
      </c>
      <c r="D8" s="55">
        <f>'13_PL'!C12</f>
        <v>-525.52500000000009</v>
      </c>
      <c r="E8" s="55">
        <f>'13_PL'!D12</f>
        <v>-154.59999999999991</v>
      </c>
      <c r="F8" s="55">
        <f>'13_PL'!E12</f>
        <v>92.718749999999659</v>
      </c>
      <c r="G8" s="55">
        <f>'13_PL'!F12</f>
        <v>342.33749999999952</v>
      </c>
      <c r="H8" s="55">
        <f>'13_PL'!G12</f>
        <v>365.68124999999986</v>
      </c>
      <c r="I8" s="55">
        <f>'13_PL'!H12</f>
        <v>385.42500000000041</v>
      </c>
      <c r="J8" s="55">
        <f>'13_PL'!I12</f>
        <v>401.19375000000082</v>
      </c>
      <c r="K8" s="55">
        <f>'13_PL'!J12</f>
        <v>412.31249999999932</v>
      </c>
      <c r="L8" s="55">
        <f>'13_PL'!K12</f>
        <v>418.25625000000014</v>
      </c>
    </row>
    <row r="9" spans="1:12" ht="21.95" customHeight="1" x14ac:dyDescent="0.25">
      <c r="A9" s="14" t="s">
        <v>540</v>
      </c>
      <c r="B9" s="33">
        <v>0</v>
      </c>
      <c r="C9" s="55">
        <f>'13_PL'!B7</f>
        <v>238</v>
      </c>
      <c r="D9" s="55">
        <f>'13_PL'!C7</f>
        <v>238</v>
      </c>
      <c r="E9" s="55">
        <f>'13_PL'!D7</f>
        <v>238</v>
      </c>
      <c r="F9" s="55">
        <f>'13_PL'!E7</f>
        <v>238</v>
      </c>
      <c r="G9" s="55">
        <f>'13_PL'!F7</f>
        <v>238</v>
      </c>
      <c r="H9" s="55">
        <f>'13_PL'!G7</f>
        <v>238</v>
      </c>
      <c r="I9" s="55">
        <f>'13_PL'!H7</f>
        <v>238</v>
      </c>
      <c r="J9" s="55">
        <f>'13_PL'!I7</f>
        <v>238</v>
      </c>
      <c r="K9" s="55">
        <f>'13_PL'!J7</f>
        <v>238</v>
      </c>
      <c r="L9" s="55">
        <f>'13_PL'!K7</f>
        <v>238</v>
      </c>
    </row>
    <row r="10" spans="1:12" ht="21.95" customHeight="1" x14ac:dyDescent="0.25">
      <c r="A10" s="14" t="s">
        <v>541</v>
      </c>
      <c r="B10" s="33">
        <v>0</v>
      </c>
      <c r="C10" s="33">
        <f>-(IF(1&lt;='02_Assumptions'!$C$15,'10_CAPEX'!$B$15*100/'02_Assumptions'!$C$15,0))</f>
        <v>-325</v>
      </c>
      <c r="D10" s="33">
        <f>-(IF(2&lt;='02_Assumptions'!$C$15,'10_CAPEX'!$B$15*100/'02_Assumptions'!$C$15,0))</f>
        <v>-325</v>
      </c>
      <c r="E10" s="33">
        <f>-(IF(3&lt;='02_Assumptions'!$C$15,'10_CAPEX'!$B$15*100/'02_Assumptions'!$C$15,0))</f>
        <v>-325</v>
      </c>
      <c r="F10" s="33">
        <f>-(IF(4&lt;='02_Assumptions'!$C$15,'10_CAPEX'!$B$15*100/'02_Assumptions'!$C$15,0))</f>
        <v>-325</v>
      </c>
      <c r="G10" s="33">
        <f>-(IF(5&lt;='02_Assumptions'!$C$15,'10_CAPEX'!$B$15*100/'02_Assumptions'!$C$15,0))</f>
        <v>-325</v>
      </c>
      <c r="H10" s="33">
        <f>-(IF(6&lt;='02_Assumptions'!$C$15,'10_CAPEX'!$B$15*100/'02_Assumptions'!$C$15,0))</f>
        <v>-325</v>
      </c>
      <c r="I10" s="33">
        <f>-(IF(7&lt;='02_Assumptions'!$C$15,'10_CAPEX'!$B$15*100/'02_Assumptions'!$C$15,0))</f>
        <v>-325</v>
      </c>
      <c r="J10" s="33">
        <f>-(IF(8&lt;='02_Assumptions'!$C$15,'10_CAPEX'!$B$15*100/'02_Assumptions'!$C$15,0))</f>
        <v>-325</v>
      </c>
      <c r="K10" s="33">
        <f>-(IF(9&lt;='02_Assumptions'!$C$15,'10_CAPEX'!$B$15*100/'02_Assumptions'!$C$15,0))</f>
        <v>-325</v>
      </c>
      <c r="L10" s="33">
        <f>-(IF(10&lt;='02_Assumptions'!$C$15,'10_CAPEX'!$B$15*100/'02_Assumptions'!$C$15,0))</f>
        <v>-325</v>
      </c>
    </row>
    <row r="11" spans="1:12" ht="21.95" customHeight="1" x14ac:dyDescent="0.25">
      <c r="A11" s="27" t="s">
        <v>542</v>
      </c>
      <c r="B11" s="54">
        <f>SUM(B5:B10)</f>
        <v>0</v>
      </c>
      <c r="C11" s="54">
        <f t="shared" ref="C11:L11" si="0">SUM(C8:C10)</f>
        <v>-907.65000000000009</v>
      </c>
      <c r="D11" s="54">
        <f t="shared" si="0"/>
        <v>-612.52500000000009</v>
      </c>
      <c r="E11" s="54">
        <f t="shared" si="0"/>
        <v>-241.59999999999991</v>
      </c>
      <c r="F11" s="54">
        <f t="shared" si="0"/>
        <v>5.7187499999996589</v>
      </c>
      <c r="G11" s="54">
        <f t="shared" si="0"/>
        <v>255.33749999999952</v>
      </c>
      <c r="H11" s="54">
        <f t="shared" si="0"/>
        <v>278.68124999999986</v>
      </c>
      <c r="I11" s="54">
        <f t="shared" si="0"/>
        <v>298.42500000000041</v>
      </c>
      <c r="J11" s="54">
        <f t="shared" si="0"/>
        <v>314.19375000000082</v>
      </c>
      <c r="K11" s="54">
        <f t="shared" si="0"/>
        <v>325.31249999999932</v>
      </c>
      <c r="L11" s="54">
        <f t="shared" si="0"/>
        <v>331.25625000000014</v>
      </c>
    </row>
    <row r="12" spans="1:12" ht="21.95" customHeight="1" x14ac:dyDescent="0.25">
      <c r="A12" s="27" t="s">
        <v>543</v>
      </c>
      <c r="B12" s="54">
        <f>B11</f>
        <v>0</v>
      </c>
      <c r="C12" s="54">
        <f t="shared" ref="C12:L12" si="1">B12+C11</f>
        <v>-907.65000000000009</v>
      </c>
      <c r="D12" s="54">
        <f t="shared" si="1"/>
        <v>-1520.1750000000002</v>
      </c>
      <c r="E12" s="54">
        <f t="shared" si="1"/>
        <v>-1761.7750000000001</v>
      </c>
      <c r="F12" s="54">
        <f t="shared" si="1"/>
        <v>-1756.0562500000005</v>
      </c>
      <c r="G12" s="54">
        <f t="shared" si="1"/>
        <v>-1500.7187500000009</v>
      </c>
      <c r="H12" s="54">
        <f t="shared" si="1"/>
        <v>-1222.037500000001</v>
      </c>
      <c r="I12" s="54">
        <f t="shared" si="1"/>
        <v>-923.61250000000064</v>
      </c>
      <c r="J12" s="54">
        <f t="shared" si="1"/>
        <v>-609.41874999999982</v>
      </c>
      <c r="K12" s="54">
        <f t="shared" si="1"/>
        <v>-284.1062500000005</v>
      </c>
      <c r="L12" s="54">
        <f t="shared" si="1"/>
        <v>47.149999999999636</v>
      </c>
    </row>
    <row r="13" spans="1:12" ht="21.95" customHeight="1" x14ac:dyDescent="0.25">
      <c r="A13" s="14" t="s">
        <v>544</v>
      </c>
      <c r="B13" s="22" t="s">
        <v>545</v>
      </c>
      <c r="C13" s="58">
        <f>IF(-C10+'13_PL'!B9=0,"n/a",(C8+C9+'13_PL'!B9)/(-C10+'13_PL'!B9))</f>
        <v>-0.36232645403377123</v>
      </c>
      <c r="D13" s="58">
        <f>IF(-D10+'13_PL'!C9=0,"n/a",(D8+D9+'13_PL'!C9)/(-D10+'13_PL'!C9))</f>
        <v>3.1006525608067881E-2</v>
      </c>
      <c r="E13" s="58">
        <f>IF(-E10+'13_PL'!D9=0,"n/a",(E8+E9+'13_PL'!D9)/(-E10+'13_PL'!D9))</f>
        <v>0.59598662207357878</v>
      </c>
      <c r="F13" s="58">
        <f>IF(-F10+'13_PL'!E9=0,"n/a",(F8+F9+'13_PL'!E9)/(-F10+'13_PL'!E9))</f>
        <v>1.0101418754156499</v>
      </c>
      <c r="G13" s="58">
        <f>IF(-G10+'13_PL'!F9=0,"n/a",(G8+G9+'13_PL'!F9)/(-G10+'13_PL'!F9))</f>
        <v>1.4819962246342606</v>
      </c>
      <c r="H13" s="58">
        <f>IF(-H10+'13_PL'!G9=0,"n/a",(H8+H9+'13_PL'!G9)/(-H10+'13_PL'!G9))</f>
        <v>1.5622824716267336</v>
      </c>
      <c r="I13" s="58">
        <f>IF(-I10+'13_PL'!H9=0,"n/a",(I8+I9+'13_PL'!H9)/(-I10+'13_PL'!H9))</f>
        <v>1.6466413867822327</v>
      </c>
      <c r="J13" s="58">
        <f>IF(-J10+'13_PL'!I9=0,"n/a",(J8+J9+'13_PL'!I9)/(-J10+'13_PL'!I9))</f>
        <v>1.7351711026615988</v>
      </c>
      <c r="K13" s="58">
        <f>IF(-K10+'13_PL'!J9=0,"n/a",(K8+K9+'13_PL'!J9)/(-K10+'13_PL'!J9))</f>
        <v>1.8272409408773027</v>
      </c>
      <c r="L13" s="58">
        <f>IF(-L10+'13_PL'!K9=0,"n/a",(L8+L9+'13_PL'!K9)/(-L10+'13_PL'!K9))</f>
        <v>1.9223981900452491</v>
      </c>
    </row>
    <row r="15" spans="1:12" x14ac:dyDescent="0.25">
      <c r="A15" s="63" t="s">
        <v>546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</row>
  </sheetData>
  <mergeCells count="3">
    <mergeCell ref="A2:L2"/>
    <mergeCell ref="A15:K15"/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C14"/>
  <sheetViews>
    <sheetView showGridLines="0" workbookViewId="0">
      <selection sqref="A1:C1"/>
    </sheetView>
  </sheetViews>
  <sheetFormatPr defaultRowHeight="15" x14ac:dyDescent="0.25"/>
  <cols>
    <col min="1" max="1" width="34" customWidth="1"/>
    <col min="2" max="2" width="16" customWidth="1"/>
    <col min="3" max="3" width="40" customWidth="1"/>
  </cols>
  <sheetData>
    <row r="1" spans="1:3" ht="20.25" x14ac:dyDescent="0.3">
      <c r="A1" s="66" t="s">
        <v>547</v>
      </c>
      <c r="B1" s="64"/>
      <c r="C1" s="64"/>
    </row>
    <row r="2" spans="1:3" x14ac:dyDescent="0.25">
      <c r="A2" s="65" t="s">
        <v>548</v>
      </c>
      <c r="B2" s="64"/>
      <c r="C2" s="64"/>
    </row>
    <row r="3" spans="1:3" x14ac:dyDescent="0.25">
      <c r="A3" s="11" t="s">
        <v>195</v>
      </c>
      <c r="B3" s="11" t="s">
        <v>112</v>
      </c>
      <c r="C3" s="11" t="s">
        <v>216</v>
      </c>
    </row>
    <row r="4" spans="1:3" ht="26.1" customHeight="1" x14ac:dyDescent="0.25">
      <c r="A4" s="20" t="s">
        <v>549</v>
      </c>
      <c r="B4" s="55">
        <f>'12_Revenue'!F12</f>
        <v>4561.2</v>
      </c>
      <c r="C4" s="23" t="s">
        <v>550</v>
      </c>
    </row>
    <row r="5" spans="1:3" ht="26.1" customHeight="1" x14ac:dyDescent="0.25">
      <c r="A5" s="20" t="s">
        <v>551</v>
      </c>
      <c r="B5" s="55">
        <f>'11_OPEX'!F5+'11_OPEX'!F7+'11_OPEX'!F8</f>
        <v>615.4</v>
      </c>
      <c r="C5" s="23" t="s">
        <v>552</v>
      </c>
    </row>
    <row r="6" spans="1:3" ht="26.1" customHeight="1" x14ac:dyDescent="0.25">
      <c r="A6" s="20" t="s">
        <v>553</v>
      </c>
      <c r="B6" s="55">
        <f>'11_OPEX'!F4+'11_OPEX'!F6+'11_OPEX'!F9</f>
        <v>3046.6000000000004</v>
      </c>
      <c r="C6" s="23" t="s">
        <v>554</v>
      </c>
    </row>
    <row r="7" spans="1:3" ht="26.1" customHeight="1" x14ac:dyDescent="0.25">
      <c r="A7" s="20" t="s">
        <v>555</v>
      </c>
      <c r="B7" s="34">
        <f>(B4-B5)/B4</f>
        <v>0.865079365079365</v>
      </c>
      <c r="C7" s="23" t="s">
        <v>556</v>
      </c>
    </row>
    <row r="8" spans="1:3" ht="26.1" customHeight="1" x14ac:dyDescent="0.25">
      <c r="A8" s="20" t="s">
        <v>557</v>
      </c>
      <c r="B8" s="33">
        <f>B6/B7</f>
        <v>3521.7577981651384</v>
      </c>
      <c r="C8" s="23" t="s">
        <v>558</v>
      </c>
    </row>
    <row r="9" spans="1:3" ht="26.1" customHeight="1" x14ac:dyDescent="0.25">
      <c r="A9" s="20" t="s">
        <v>559</v>
      </c>
      <c r="B9" s="33">
        <f>B4</f>
        <v>4561.2</v>
      </c>
      <c r="C9" s="23" t="s">
        <v>560</v>
      </c>
    </row>
    <row r="10" spans="1:3" ht="26.1" customHeight="1" x14ac:dyDescent="0.25">
      <c r="A10" s="20" t="s">
        <v>561</v>
      </c>
      <c r="B10" s="33">
        <f>B9-B8</f>
        <v>1039.4422018348614</v>
      </c>
      <c r="C10" s="23" t="s">
        <v>379</v>
      </c>
    </row>
    <row r="11" spans="1:3" ht="26.1" customHeight="1" x14ac:dyDescent="0.25">
      <c r="A11" s="20" t="s">
        <v>562</v>
      </c>
      <c r="B11" s="34">
        <f>B10/B9</f>
        <v>0.22788788078463154</v>
      </c>
      <c r="C11" s="23" t="s">
        <v>379</v>
      </c>
    </row>
    <row r="12" spans="1:3" ht="26.1" customHeight="1" x14ac:dyDescent="0.25">
      <c r="A12" s="20" t="s">
        <v>563</v>
      </c>
      <c r="B12" s="41">
        <f>'12_Revenue'!F5*B8/B9</f>
        <v>0.52503624106645064</v>
      </c>
      <c r="C12" s="23" t="s">
        <v>564</v>
      </c>
    </row>
    <row r="14" spans="1:3" x14ac:dyDescent="0.25">
      <c r="A14" s="63" t="s">
        <v>565</v>
      </c>
      <c r="B14" s="64"/>
      <c r="C14" s="64"/>
    </row>
  </sheetData>
  <mergeCells count="3">
    <mergeCell ref="A1:C1"/>
    <mergeCell ref="A14:C14"/>
    <mergeCell ref="A2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F17"/>
  <sheetViews>
    <sheetView showGridLines="0" workbookViewId="0">
      <selection sqref="A1:F1"/>
    </sheetView>
  </sheetViews>
  <sheetFormatPr defaultRowHeight="15" x14ac:dyDescent="0.25"/>
  <cols>
    <col min="1" max="1" width="30" customWidth="1"/>
    <col min="2" max="6" width="14" customWidth="1"/>
  </cols>
  <sheetData>
    <row r="1" spans="1:6" ht="20.25" x14ac:dyDescent="0.3">
      <c r="A1" s="66" t="s">
        <v>566</v>
      </c>
      <c r="B1" s="64"/>
      <c r="C1" s="64"/>
      <c r="D1" s="64"/>
      <c r="E1" s="64"/>
      <c r="F1" s="64"/>
    </row>
    <row r="2" spans="1:6" x14ac:dyDescent="0.25">
      <c r="A2" s="65" t="s">
        <v>567</v>
      </c>
      <c r="B2" s="64"/>
      <c r="C2" s="64"/>
      <c r="D2" s="64"/>
      <c r="E2" s="64"/>
      <c r="F2" s="64"/>
    </row>
    <row r="3" spans="1:6" x14ac:dyDescent="0.25">
      <c r="A3" s="67" t="s">
        <v>568</v>
      </c>
      <c r="B3" s="64"/>
      <c r="C3" s="64"/>
      <c r="D3" s="64"/>
      <c r="E3" s="64"/>
      <c r="F3" s="64"/>
    </row>
    <row r="4" spans="1:6" ht="60" x14ac:dyDescent="0.25">
      <c r="A4" s="11" t="s">
        <v>569</v>
      </c>
      <c r="B4" s="11" t="s">
        <v>513</v>
      </c>
      <c r="C4" s="11" t="s">
        <v>570</v>
      </c>
      <c r="D4" s="11" t="s">
        <v>571</v>
      </c>
      <c r="E4" s="11" t="s">
        <v>506</v>
      </c>
      <c r="F4" s="11" t="s">
        <v>216</v>
      </c>
    </row>
    <row r="5" spans="1:6" ht="21.95" customHeight="1" x14ac:dyDescent="0.25">
      <c r="A5" s="14" t="s">
        <v>572</v>
      </c>
      <c r="B5" s="34">
        <f>'12_Revenue'!F5+-0.15</f>
        <v>0.53</v>
      </c>
      <c r="C5" s="33">
        <f>'12_Revenue'!F9*(B5/'12_Revenue'!F5)*(1-'02_Assumptions'!$C$27)</f>
        <v>3555.0802205882355</v>
      </c>
      <c r="D5" s="33">
        <f>C5-'15_Break_Even'!$B$6-'15_Break_Even'!$B$5*(C5/'15_Break_Even'!$B$4)</f>
        <v>28.826540032679588</v>
      </c>
      <c r="E5" s="34">
        <f>D5/C5</f>
        <v>8.1085483994816441E-3</v>
      </c>
      <c r="F5" s="23"/>
    </row>
    <row r="6" spans="1:6" ht="21.95" customHeight="1" x14ac:dyDescent="0.25">
      <c r="A6" s="14" t="s">
        <v>573</v>
      </c>
      <c r="B6" s="34">
        <f>'12_Revenue'!F5+-0.1</f>
        <v>0.58000000000000007</v>
      </c>
      <c r="C6" s="33">
        <f>'12_Revenue'!F9*(B6/'12_Revenue'!F5)*(1-'02_Assumptions'!$C$27)</f>
        <v>3890.4651470588237</v>
      </c>
      <c r="D6" s="33">
        <f>C6-'15_Break_Even'!$B$6-'15_Break_Even'!$B$5*(C6/'15_Break_Even'!$B$4)</f>
        <v>318.96111928104551</v>
      </c>
      <c r="E6" s="34">
        <f>D6/C6</f>
        <v>8.1985342940850886E-2</v>
      </c>
      <c r="F6" s="23"/>
    </row>
    <row r="7" spans="1:6" ht="21.95" customHeight="1" x14ac:dyDescent="0.25">
      <c r="A7" s="14" t="s">
        <v>574</v>
      </c>
      <c r="B7" s="34">
        <f>'12_Revenue'!F5+0</f>
        <v>0.68</v>
      </c>
      <c r="C7" s="33">
        <f>'12_Revenue'!F9*(B7/'12_Revenue'!F5)*(1-'02_Assumptions'!$C$27)</f>
        <v>4561.2349999999997</v>
      </c>
      <c r="D7" s="33">
        <f>C7-'15_Break_Even'!$B$6-'15_Break_Even'!$B$5*(C7/'15_Break_Even'!$B$4)</f>
        <v>899.23027777777713</v>
      </c>
      <c r="E7" s="34">
        <f>D7/C7</f>
        <v>0.19714622854945585</v>
      </c>
      <c r="F7" s="23" t="s">
        <v>575</v>
      </c>
    </row>
    <row r="8" spans="1:6" ht="21.95" customHeight="1" x14ac:dyDescent="0.25">
      <c r="A8" s="14" t="s">
        <v>576</v>
      </c>
      <c r="B8" s="34">
        <f>'12_Revenue'!F5+0.1</f>
        <v>0.78</v>
      </c>
      <c r="C8" s="33">
        <f>'12_Revenue'!F9*(B8/'12_Revenue'!F5)*(1-'02_Assumptions'!$C$27)</f>
        <v>5232.0048529411761</v>
      </c>
      <c r="D8" s="33">
        <f>C8-'15_Break_Even'!$B$6-'15_Break_Even'!$B$5*(C8/'15_Break_Even'!$B$4)</f>
        <v>1479.499436274509</v>
      </c>
      <c r="E8" s="34">
        <f>D8/C8</f>
        <v>0.28277868195072625</v>
      </c>
      <c r="F8" s="23"/>
    </row>
    <row r="9" spans="1:6" ht="21.95" customHeight="1" x14ac:dyDescent="0.25">
      <c r="A9" s="14" t="s">
        <v>577</v>
      </c>
      <c r="B9" s="34">
        <f>'12_Revenue'!F5+0.15</f>
        <v>0.83000000000000007</v>
      </c>
      <c r="C9" s="33">
        <f>'12_Revenue'!F9*(B9/'12_Revenue'!F5)*(1-'02_Assumptions'!$C$27)</f>
        <v>5567.3897794117656</v>
      </c>
      <c r="D9" s="33">
        <f>C9-'15_Break_Even'!$B$6-'15_Break_Even'!$B$5*(C9/'15_Break_Even'!$B$4)</f>
        <v>1769.6340155228763</v>
      </c>
      <c r="E9" s="34">
        <f>D9/C9</f>
        <v>0.3178570363560661</v>
      </c>
      <c r="F9" s="23"/>
    </row>
    <row r="11" spans="1:6" x14ac:dyDescent="0.25">
      <c r="A11" s="67" t="s">
        <v>578</v>
      </c>
      <c r="B11" s="64"/>
      <c r="C11" s="64"/>
      <c r="D11" s="64"/>
      <c r="E11" s="64"/>
      <c r="F11" s="64"/>
    </row>
    <row r="12" spans="1:6" x14ac:dyDescent="0.25">
      <c r="A12" s="11" t="s">
        <v>195</v>
      </c>
      <c r="B12" s="11" t="s">
        <v>579</v>
      </c>
      <c r="C12" s="11" t="s">
        <v>574</v>
      </c>
      <c r="D12" s="11" t="s">
        <v>580</v>
      </c>
      <c r="E12" s="11"/>
      <c r="F12" s="11"/>
    </row>
    <row r="13" spans="1:6" ht="30" customHeight="1" x14ac:dyDescent="0.25">
      <c r="A13" s="20" t="s">
        <v>581</v>
      </c>
      <c r="B13" s="55">
        <f>'10_CAPEX'!B11</f>
        <v>40</v>
      </c>
      <c r="C13" s="55">
        <f>'10_CAPEX'!C11</f>
        <v>50</v>
      </c>
      <c r="D13" s="55">
        <f>'10_CAPEX'!D11</f>
        <v>60</v>
      </c>
      <c r="E13" s="28"/>
      <c r="F13" s="28"/>
    </row>
    <row r="14" spans="1:6" ht="30" customHeight="1" x14ac:dyDescent="0.25">
      <c r="A14" s="20" t="s">
        <v>582</v>
      </c>
      <c r="B14" s="33">
        <f>C13*0.85</f>
        <v>42.5</v>
      </c>
      <c r="C14" s="55">
        <f>'13_PL'!F6</f>
        <v>899.19999999999936</v>
      </c>
      <c r="D14" s="33">
        <f>C13*1.12</f>
        <v>56.000000000000007</v>
      </c>
      <c r="E14" s="28"/>
      <c r="F14" s="28"/>
    </row>
    <row r="15" spans="1:6" ht="30" customHeight="1" x14ac:dyDescent="0.25">
      <c r="A15" s="20" t="s">
        <v>583</v>
      </c>
      <c r="B15" s="33">
        <f>B13*100/B14</f>
        <v>94.117647058823536</v>
      </c>
      <c r="C15" s="33">
        <f>C13*100/C14</f>
        <v>5.5604982206405733</v>
      </c>
      <c r="D15" s="33">
        <f>D13*100/D14</f>
        <v>107.14285714285712</v>
      </c>
      <c r="E15" s="28"/>
      <c r="F15" s="28"/>
    </row>
    <row r="17" spans="1:6" x14ac:dyDescent="0.25">
      <c r="A17" s="63" t="s">
        <v>584</v>
      </c>
      <c r="B17" s="64"/>
      <c r="C17" s="64"/>
      <c r="D17" s="64"/>
      <c r="E17" s="64"/>
      <c r="F17" s="64"/>
    </row>
  </sheetData>
  <mergeCells count="5">
    <mergeCell ref="A2:F2"/>
    <mergeCell ref="A11:F11"/>
    <mergeCell ref="A1:F1"/>
    <mergeCell ref="A17:F17"/>
    <mergeCell ref="A3:F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D14"/>
  <sheetViews>
    <sheetView showGridLines="0" workbookViewId="0">
      <selection sqref="A1:D1"/>
    </sheetView>
  </sheetViews>
  <sheetFormatPr defaultRowHeight="15" x14ac:dyDescent="0.25"/>
  <cols>
    <col min="1" max="1" width="30" customWidth="1"/>
    <col min="2" max="3" width="16" customWidth="1"/>
    <col min="4" max="4" width="40" customWidth="1"/>
  </cols>
  <sheetData>
    <row r="1" spans="1:4" ht="20.25" x14ac:dyDescent="0.3">
      <c r="A1" s="66" t="s">
        <v>585</v>
      </c>
      <c r="B1" s="64"/>
      <c r="C1" s="64"/>
      <c r="D1" s="64"/>
    </row>
    <row r="2" spans="1:4" x14ac:dyDescent="0.25">
      <c r="A2" s="65" t="s">
        <v>586</v>
      </c>
      <c r="B2" s="64"/>
      <c r="C2" s="64"/>
      <c r="D2" s="64"/>
    </row>
    <row r="3" spans="1:4" ht="45" x14ac:dyDescent="0.25">
      <c r="A3" s="11" t="s">
        <v>587</v>
      </c>
      <c r="B3" s="11" t="s">
        <v>588</v>
      </c>
      <c r="C3" s="11" t="s">
        <v>589</v>
      </c>
      <c r="D3" s="11" t="s">
        <v>216</v>
      </c>
    </row>
    <row r="4" spans="1:4" ht="26.1" customHeight="1" x14ac:dyDescent="0.25">
      <c r="A4" s="20" t="s">
        <v>590</v>
      </c>
      <c r="B4" s="41">
        <f>'12_Revenue'!F5</f>
        <v>0.68</v>
      </c>
      <c r="C4" s="31" t="s">
        <v>591</v>
      </c>
      <c r="D4" s="23" t="s">
        <v>592</v>
      </c>
    </row>
    <row r="5" spans="1:4" ht="26.1" customHeight="1" x14ac:dyDescent="0.25">
      <c r="A5" s="20" t="s">
        <v>147</v>
      </c>
      <c r="B5" s="41">
        <f>'02_Assumptions'!$C$16</f>
        <v>3.8</v>
      </c>
      <c r="C5" s="31" t="s">
        <v>593</v>
      </c>
      <c r="D5" s="23" t="s">
        <v>594</v>
      </c>
    </row>
    <row r="6" spans="1:4" ht="26.1" customHeight="1" x14ac:dyDescent="0.25">
      <c r="A6" s="20" t="s">
        <v>595</v>
      </c>
      <c r="B6" s="41">
        <f>ROUND(365/'02_Assumptions'!$C$16*'12_Revenue'!F5,1)</f>
        <v>65.3</v>
      </c>
      <c r="C6" s="31" t="s">
        <v>596</v>
      </c>
      <c r="D6" s="23" t="s">
        <v>379</v>
      </c>
    </row>
    <row r="7" spans="1:4" ht="26.1" customHeight="1" x14ac:dyDescent="0.25">
      <c r="A7" s="20" t="s">
        <v>597</v>
      </c>
      <c r="B7" s="41">
        <f>'02_Assumptions'!$C$21</f>
        <v>0.08</v>
      </c>
      <c r="C7" s="31" t="s">
        <v>598</v>
      </c>
      <c r="D7" s="23" t="s">
        <v>379</v>
      </c>
    </row>
    <row r="8" spans="1:4" ht="26.1" customHeight="1" x14ac:dyDescent="0.25">
      <c r="A8" s="20" t="s">
        <v>599</v>
      </c>
      <c r="B8" s="19">
        <v>0.65</v>
      </c>
      <c r="C8" s="31" t="s">
        <v>600</v>
      </c>
      <c r="D8" s="23" t="s">
        <v>601</v>
      </c>
    </row>
    <row r="9" spans="1:4" ht="26.1" customHeight="1" x14ac:dyDescent="0.25">
      <c r="A9" s="20" t="s">
        <v>602</v>
      </c>
      <c r="B9" s="19">
        <v>0.7</v>
      </c>
      <c r="C9" s="31" t="s">
        <v>603</v>
      </c>
      <c r="D9" s="23" t="s">
        <v>23</v>
      </c>
    </row>
    <row r="10" spans="1:4" ht="26.1" customHeight="1" x14ac:dyDescent="0.25">
      <c r="A10" s="20" t="s">
        <v>604</v>
      </c>
      <c r="B10" s="32" t="s">
        <v>605</v>
      </c>
      <c r="C10" s="31" t="s">
        <v>606</v>
      </c>
      <c r="D10" s="23" t="s">
        <v>607</v>
      </c>
    </row>
    <row r="11" spans="1:4" ht="26.1" customHeight="1" x14ac:dyDescent="0.25">
      <c r="A11" s="20" t="s">
        <v>608</v>
      </c>
      <c r="B11" s="19">
        <v>0.85</v>
      </c>
      <c r="C11" s="31" t="s">
        <v>609</v>
      </c>
      <c r="D11" s="23" t="s">
        <v>610</v>
      </c>
    </row>
    <row r="12" spans="1:4" ht="26.1" customHeight="1" x14ac:dyDescent="0.25">
      <c r="A12" s="20" t="s">
        <v>611</v>
      </c>
      <c r="B12" s="19">
        <v>0.12</v>
      </c>
      <c r="C12" s="31" t="s">
        <v>612</v>
      </c>
      <c r="D12" s="23" t="s">
        <v>613</v>
      </c>
    </row>
    <row r="13" spans="1:4" ht="26.1" customHeight="1" x14ac:dyDescent="0.25">
      <c r="A13" s="20" t="s">
        <v>614</v>
      </c>
      <c r="B13" s="41">
        <f>'12_Revenue'!F7</f>
        <v>11993.531120000003</v>
      </c>
      <c r="C13" s="31" t="s">
        <v>615</v>
      </c>
      <c r="D13" s="23" t="s">
        <v>379</v>
      </c>
    </row>
    <row r="14" spans="1:4" ht="26.1" customHeight="1" x14ac:dyDescent="0.25">
      <c r="A14" s="20" t="s">
        <v>616</v>
      </c>
      <c r="B14" s="41">
        <f>'11_OPEX'!F12</f>
        <v>0.19714110321845116</v>
      </c>
      <c r="C14" s="31" t="s">
        <v>617</v>
      </c>
      <c r="D14" s="23" t="s">
        <v>618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C20"/>
  <sheetViews>
    <sheetView showGridLines="0" topLeftCell="A6" workbookViewId="0">
      <selection sqref="A1:C1"/>
    </sheetView>
  </sheetViews>
  <sheetFormatPr defaultRowHeight="15" x14ac:dyDescent="0.25"/>
  <cols>
    <col min="1" max="1" width="8" customWidth="1"/>
    <col min="2" max="2" width="30" customWidth="1"/>
    <col min="3" max="3" width="50" customWidth="1"/>
  </cols>
  <sheetData>
    <row r="1" spans="1:3" ht="20.25" x14ac:dyDescent="0.3">
      <c r="A1" s="66" t="s">
        <v>619</v>
      </c>
      <c r="B1" s="64"/>
      <c r="C1" s="64"/>
    </row>
    <row r="2" spans="1:3" x14ac:dyDescent="0.25">
      <c r="A2" s="65" t="s">
        <v>620</v>
      </c>
      <c r="B2" s="64"/>
      <c r="C2" s="64"/>
    </row>
    <row r="3" spans="1:3" x14ac:dyDescent="0.25">
      <c r="A3" s="67" t="s">
        <v>621</v>
      </c>
      <c r="B3" s="64"/>
      <c r="C3" s="64"/>
    </row>
    <row r="4" spans="1:3" ht="30" customHeight="1" x14ac:dyDescent="0.25">
      <c r="A4" s="59">
        <v>1</v>
      </c>
      <c r="B4" s="27" t="s">
        <v>622</v>
      </c>
      <c r="C4" s="20" t="s">
        <v>623</v>
      </c>
    </row>
    <row r="5" spans="1:3" ht="30" customHeight="1" x14ac:dyDescent="0.25">
      <c r="A5" s="59">
        <v>2</v>
      </c>
      <c r="B5" s="27" t="s">
        <v>624</v>
      </c>
      <c r="C5" s="20" t="s">
        <v>625</v>
      </c>
    </row>
    <row r="6" spans="1:3" ht="30" customHeight="1" x14ac:dyDescent="0.25">
      <c r="A6" s="59">
        <v>3</v>
      </c>
      <c r="B6" s="27" t="s">
        <v>626</v>
      </c>
      <c r="C6" s="20" t="s">
        <v>627</v>
      </c>
    </row>
    <row r="7" spans="1:3" ht="30" customHeight="1" x14ac:dyDescent="0.25">
      <c r="A7" s="59">
        <v>4</v>
      </c>
      <c r="B7" s="27" t="s">
        <v>628</v>
      </c>
      <c r="C7" s="20" t="s">
        <v>629</v>
      </c>
    </row>
    <row r="8" spans="1:3" ht="30" customHeight="1" x14ac:dyDescent="0.25">
      <c r="A8" s="59">
        <v>5</v>
      </c>
      <c r="B8" s="27" t="s">
        <v>630</v>
      </c>
      <c r="C8" s="20" t="s">
        <v>631</v>
      </c>
    </row>
    <row r="9" spans="1:3" ht="30" customHeight="1" x14ac:dyDescent="0.25">
      <c r="A9" s="59">
        <v>6</v>
      </c>
      <c r="B9" s="27" t="s">
        <v>632</v>
      </c>
      <c r="C9" s="20" t="s">
        <v>633</v>
      </c>
    </row>
    <row r="10" spans="1:3" ht="30" customHeight="1" x14ac:dyDescent="0.25">
      <c r="A10" s="59">
        <v>7</v>
      </c>
      <c r="B10" s="27" t="s">
        <v>634</v>
      </c>
      <c r="C10" s="20" t="s">
        <v>635</v>
      </c>
    </row>
    <row r="11" spans="1:3" ht="30" customHeight="1" x14ac:dyDescent="0.25">
      <c r="A11" s="59">
        <v>8</v>
      </c>
      <c r="B11" s="27" t="s">
        <v>636</v>
      </c>
      <c r="C11" s="20" t="s">
        <v>637</v>
      </c>
    </row>
    <row r="13" spans="1:3" x14ac:dyDescent="0.25">
      <c r="A13" s="67" t="s">
        <v>638</v>
      </c>
      <c r="B13" s="64"/>
      <c r="C13" s="64"/>
    </row>
    <row r="14" spans="1:3" ht="27.95" customHeight="1" x14ac:dyDescent="0.25">
      <c r="A14" s="59">
        <v>1</v>
      </c>
      <c r="B14" s="27" t="s">
        <v>639</v>
      </c>
      <c r="C14" s="20" t="s">
        <v>640</v>
      </c>
    </row>
    <row r="15" spans="1:3" ht="27.95" customHeight="1" x14ac:dyDescent="0.25">
      <c r="A15" s="59">
        <v>2</v>
      </c>
      <c r="B15" s="27" t="s">
        <v>641</v>
      </c>
      <c r="C15" s="20" t="s">
        <v>642</v>
      </c>
    </row>
    <row r="16" spans="1:3" ht="27.95" customHeight="1" x14ac:dyDescent="0.25">
      <c r="A16" s="59">
        <v>3</v>
      </c>
      <c r="B16" s="27" t="s">
        <v>643</v>
      </c>
      <c r="C16" s="20" t="s">
        <v>644</v>
      </c>
    </row>
    <row r="17" spans="1:3" ht="27.95" customHeight="1" x14ac:dyDescent="0.25">
      <c r="A17" s="59">
        <v>4</v>
      </c>
      <c r="B17" s="27" t="s">
        <v>645</v>
      </c>
      <c r="C17" s="20" t="s">
        <v>646</v>
      </c>
    </row>
    <row r="18" spans="1:3" ht="27.95" customHeight="1" x14ac:dyDescent="0.25">
      <c r="A18" s="59">
        <v>5</v>
      </c>
      <c r="B18" s="27" t="s">
        <v>647</v>
      </c>
      <c r="C18" s="20" t="s">
        <v>648</v>
      </c>
    </row>
    <row r="20" spans="1:3" x14ac:dyDescent="0.25">
      <c r="A20" s="63" t="s">
        <v>649</v>
      </c>
      <c r="B20" s="64"/>
      <c r="C20" s="64"/>
    </row>
  </sheetData>
  <mergeCells count="5">
    <mergeCell ref="A13:C13"/>
    <mergeCell ref="A1:C1"/>
    <mergeCell ref="A3:C3"/>
    <mergeCell ref="A20:C20"/>
    <mergeCell ref="A2:C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D15"/>
  <sheetViews>
    <sheetView showGridLines="0" topLeftCell="A3" workbookViewId="0">
      <selection sqref="A1:D1"/>
    </sheetView>
  </sheetViews>
  <sheetFormatPr defaultRowHeight="15" x14ac:dyDescent="0.25"/>
  <cols>
    <col min="1" max="1" width="8" customWidth="1"/>
    <col min="2" max="2" width="34" customWidth="1"/>
    <col min="3" max="3" width="14" customWidth="1"/>
    <col min="4" max="4" width="46" customWidth="1"/>
  </cols>
  <sheetData>
    <row r="1" spans="1:4" ht="20.25" x14ac:dyDescent="0.3">
      <c r="A1" s="66" t="s">
        <v>650</v>
      </c>
      <c r="B1" s="64"/>
      <c r="C1" s="64"/>
      <c r="D1" s="64"/>
    </row>
    <row r="2" spans="1:4" x14ac:dyDescent="0.25">
      <c r="A2" s="65" t="s">
        <v>651</v>
      </c>
      <c r="B2" s="64"/>
      <c r="C2" s="64"/>
      <c r="D2" s="64"/>
    </row>
    <row r="3" spans="1:4" ht="45" x14ac:dyDescent="0.25">
      <c r="A3" s="11" t="s">
        <v>652</v>
      </c>
      <c r="B3" s="11" t="s">
        <v>653</v>
      </c>
      <c r="C3" s="11" t="s">
        <v>654</v>
      </c>
      <c r="D3" s="11" t="s">
        <v>655</v>
      </c>
    </row>
    <row r="4" spans="1:4" ht="33.950000000000003" customHeight="1" x14ac:dyDescent="0.25">
      <c r="A4" s="59" t="s">
        <v>656</v>
      </c>
      <c r="B4" s="14" t="s">
        <v>657</v>
      </c>
      <c r="C4" s="60" t="s">
        <v>658</v>
      </c>
      <c r="D4" s="20" t="s">
        <v>659</v>
      </c>
    </row>
    <row r="5" spans="1:4" ht="33.950000000000003" customHeight="1" x14ac:dyDescent="0.25">
      <c r="A5" s="59" t="s">
        <v>660</v>
      </c>
      <c r="B5" s="14" t="s">
        <v>661</v>
      </c>
      <c r="C5" s="60" t="s">
        <v>658</v>
      </c>
      <c r="D5" s="20" t="s">
        <v>662</v>
      </c>
    </row>
    <row r="6" spans="1:4" ht="33.950000000000003" customHeight="1" x14ac:dyDescent="0.25">
      <c r="A6" s="59" t="s">
        <v>663</v>
      </c>
      <c r="B6" s="14" t="s">
        <v>664</v>
      </c>
      <c r="C6" s="61" t="s">
        <v>665</v>
      </c>
      <c r="D6" s="20" t="s">
        <v>666</v>
      </c>
    </row>
    <row r="7" spans="1:4" ht="33.950000000000003" customHeight="1" x14ac:dyDescent="0.25">
      <c r="A7" s="59" t="s">
        <v>667</v>
      </c>
      <c r="B7" s="14" t="s">
        <v>668</v>
      </c>
      <c r="C7" s="61" t="s">
        <v>665</v>
      </c>
      <c r="D7" s="20" t="s">
        <v>669</v>
      </c>
    </row>
    <row r="8" spans="1:4" ht="33.950000000000003" customHeight="1" x14ac:dyDescent="0.25">
      <c r="A8" s="59" t="s">
        <v>670</v>
      </c>
      <c r="B8" s="14" t="s">
        <v>671</v>
      </c>
      <c r="C8" s="60" t="s">
        <v>658</v>
      </c>
      <c r="D8" s="20" t="s">
        <v>672</v>
      </c>
    </row>
    <row r="9" spans="1:4" ht="33.950000000000003" customHeight="1" x14ac:dyDescent="0.25">
      <c r="A9" s="59" t="s">
        <v>673</v>
      </c>
      <c r="B9" s="14" t="s">
        <v>674</v>
      </c>
      <c r="C9" s="61" t="s">
        <v>665</v>
      </c>
      <c r="D9" s="20" t="s">
        <v>675</v>
      </c>
    </row>
    <row r="10" spans="1:4" ht="33.950000000000003" customHeight="1" x14ac:dyDescent="0.25">
      <c r="A10" s="59" t="s">
        <v>676</v>
      </c>
      <c r="B10" s="14" t="s">
        <v>677</v>
      </c>
      <c r="C10" s="60" t="s">
        <v>658</v>
      </c>
      <c r="D10" s="20" t="s">
        <v>678</v>
      </c>
    </row>
    <row r="11" spans="1:4" ht="33.950000000000003" customHeight="1" x14ac:dyDescent="0.25">
      <c r="A11" s="59" t="s">
        <v>679</v>
      </c>
      <c r="B11" s="14" t="s">
        <v>680</v>
      </c>
      <c r="C11" s="60" t="s">
        <v>658</v>
      </c>
      <c r="D11" s="20" t="s">
        <v>681</v>
      </c>
    </row>
    <row r="12" spans="1:4" ht="33.950000000000003" customHeight="1" x14ac:dyDescent="0.25">
      <c r="A12" s="59" t="s">
        <v>682</v>
      </c>
      <c r="B12" s="14" t="s">
        <v>683</v>
      </c>
      <c r="C12" s="61" t="s">
        <v>665</v>
      </c>
      <c r="D12" s="20" t="s">
        <v>684</v>
      </c>
    </row>
    <row r="13" spans="1:4" ht="33.950000000000003" customHeight="1" x14ac:dyDescent="0.25">
      <c r="A13" s="59" t="s">
        <v>685</v>
      </c>
      <c r="B13" s="14" t="s">
        <v>686</v>
      </c>
      <c r="C13" s="61" t="s">
        <v>665</v>
      </c>
      <c r="D13" s="20" t="s">
        <v>687</v>
      </c>
    </row>
    <row r="15" spans="1:4" x14ac:dyDescent="0.25">
      <c r="A15" s="63" t="s">
        <v>688</v>
      </c>
      <c r="B15" s="64"/>
      <c r="C15" s="64"/>
      <c r="D15" s="64"/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E11"/>
  <sheetViews>
    <sheetView showGridLines="0" workbookViewId="0">
      <selection sqref="A1:E1"/>
    </sheetView>
  </sheetViews>
  <sheetFormatPr defaultRowHeight="15" x14ac:dyDescent="0.25"/>
  <cols>
    <col min="1" max="5" width="26" customWidth="1"/>
  </cols>
  <sheetData>
    <row r="1" spans="1:5" ht="20.25" x14ac:dyDescent="0.3">
      <c r="A1" s="66" t="s">
        <v>689</v>
      </c>
      <c r="B1" s="64"/>
      <c r="C1" s="64"/>
      <c r="D1" s="64"/>
      <c r="E1" s="64"/>
    </row>
    <row r="2" spans="1:5" x14ac:dyDescent="0.25">
      <c r="A2" s="65" t="s">
        <v>690</v>
      </c>
      <c r="B2" s="64"/>
      <c r="C2" s="64"/>
      <c r="D2" s="64"/>
      <c r="E2" s="64"/>
    </row>
    <row r="3" spans="1:5" ht="45" x14ac:dyDescent="0.25">
      <c r="A3" s="11" t="s">
        <v>691</v>
      </c>
      <c r="B3" s="11" t="s">
        <v>692</v>
      </c>
      <c r="C3" s="11" t="s">
        <v>693</v>
      </c>
      <c r="D3" s="11" t="s">
        <v>694</v>
      </c>
      <c r="E3" s="11" t="s">
        <v>695</v>
      </c>
    </row>
    <row r="4" spans="1:5" ht="54.95" customHeight="1" x14ac:dyDescent="0.25">
      <c r="A4" s="36" t="s">
        <v>696</v>
      </c>
      <c r="B4" s="10" t="s">
        <v>697</v>
      </c>
      <c r="C4" s="10" t="s">
        <v>698</v>
      </c>
      <c r="D4" s="10" t="s">
        <v>699</v>
      </c>
      <c r="E4" s="9" t="s">
        <v>700</v>
      </c>
    </row>
    <row r="5" spans="1:5" ht="54.95" customHeight="1" x14ac:dyDescent="0.25">
      <c r="A5" s="36" t="s">
        <v>701</v>
      </c>
      <c r="B5" s="10" t="s">
        <v>702</v>
      </c>
      <c r="C5" s="10" t="s">
        <v>703</v>
      </c>
      <c r="D5" s="10" t="s">
        <v>704</v>
      </c>
      <c r="E5" s="9" t="s">
        <v>705</v>
      </c>
    </row>
    <row r="6" spans="1:5" ht="54.95" customHeight="1" x14ac:dyDescent="0.25">
      <c r="A6" s="36" t="s">
        <v>706</v>
      </c>
      <c r="B6" s="10" t="s">
        <v>707</v>
      </c>
      <c r="C6" s="10" t="s">
        <v>708</v>
      </c>
      <c r="D6" s="10" t="s">
        <v>709</v>
      </c>
      <c r="E6" s="9" t="s">
        <v>710</v>
      </c>
    </row>
    <row r="7" spans="1:5" ht="54.95" customHeight="1" x14ac:dyDescent="0.25">
      <c r="A7" s="36" t="s">
        <v>711</v>
      </c>
      <c r="B7" s="10" t="s">
        <v>712</v>
      </c>
      <c r="C7" s="10" t="s">
        <v>713</v>
      </c>
      <c r="D7" s="10" t="s">
        <v>714</v>
      </c>
      <c r="E7" s="9" t="s">
        <v>715</v>
      </c>
    </row>
    <row r="8" spans="1:5" ht="54.95" customHeight="1" x14ac:dyDescent="0.25">
      <c r="A8" s="36" t="s">
        <v>716</v>
      </c>
      <c r="B8" s="10" t="s">
        <v>240</v>
      </c>
      <c r="C8" s="10" t="s">
        <v>717</v>
      </c>
      <c r="D8" s="10" t="s">
        <v>718</v>
      </c>
      <c r="E8" s="9" t="s">
        <v>719</v>
      </c>
    </row>
    <row r="9" spans="1:5" ht="54.95" customHeight="1" x14ac:dyDescent="0.25">
      <c r="A9" s="36" t="s">
        <v>720</v>
      </c>
      <c r="B9" s="10" t="s">
        <v>721</v>
      </c>
      <c r="C9" s="10" t="s">
        <v>722</v>
      </c>
      <c r="D9" s="10" t="s">
        <v>723</v>
      </c>
      <c r="E9" s="9" t="s">
        <v>240</v>
      </c>
    </row>
    <row r="11" spans="1:5" x14ac:dyDescent="0.25">
      <c r="A11" s="63" t="s">
        <v>724</v>
      </c>
      <c r="B11" s="64"/>
      <c r="C11" s="64"/>
      <c r="D11" s="64"/>
      <c r="E11" s="64"/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Y16"/>
  <sheetViews>
    <sheetView showGridLines="0" workbookViewId="0">
      <pane xSplit="1" ySplit="3" topLeftCell="B5" activePane="bottomRight" state="frozen"/>
      <selection pane="topRight"/>
      <selection pane="bottomLeft"/>
      <selection pane="bottomRight" activeCell="B10" sqref="B10"/>
    </sheetView>
  </sheetViews>
  <sheetFormatPr defaultRowHeight="15" x14ac:dyDescent="0.25"/>
  <cols>
    <col min="1" max="8" width="52.28515625" customWidth="1"/>
    <col min="9" max="25" width="10" customWidth="1"/>
  </cols>
  <sheetData>
    <row r="1" spans="1:25" ht="20.25" x14ac:dyDescent="0.3">
      <c r="A1" s="66" t="s">
        <v>725</v>
      </c>
      <c r="B1" s="64"/>
      <c r="C1" s="64"/>
      <c r="D1" s="64"/>
      <c r="E1" s="64"/>
      <c r="F1" s="64"/>
      <c r="G1" s="64"/>
      <c r="H1" s="64"/>
    </row>
    <row r="2" spans="1:25" x14ac:dyDescent="0.25">
      <c r="A2" s="72" t="s">
        <v>726</v>
      </c>
      <c r="B2" s="64"/>
      <c r="C2" s="64"/>
      <c r="D2" s="64"/>
      <c r="E2" s="64"/>
      <c r="F2" s="64"/>
      <c r="G2" s="64"/>
      <c r="H2" s="64"/>
    </row>
    <row r="3" spans="1:25" x14ac:dyDescent="0.25">
      <c r="B3" s="52" t="s">
        <v>727</v>
      </c>
      <c r="C3" s="52" t="s">
        <v>728</v>
      </c>
      <c r="D3" s="52" t="s">
        <v>729</v>
      </c>
      <c r="E3" s="52" t="s">
        <v>730</v>
      </c>
      <c r="F3" s="52" t="s">
        <v>731</v>
      </c>
      <c r="G3" s="52" t="s">
        <v>732</v>
      </c>
      <c r="H3" s="52" t="s">
        <v>733</v>
      </c>
      <c r="I3" s="52" t="s">
        <v>734</v>
      </c>
      <c r="J3" s="52" t="s">
        <v>735</v>
      </c>
      <c r="K3" s="52" t="s">
        <v>736</v>
      </c>
      <c r="L3" s="52" t="s">
        <v>737</v>
      </c>
      <c r="M3" s="52" t="s">
        <v>738</v>
      </c>
      <c r="N3" s="52" t="s">
        <v>739</v>
      </c>
      <c r="O3" s="52" t="s">
        <v>740</v>
      </c>
      <c r="P3" s="52" t="s">
        <v>741</v>
      </c>
      <c r="Q3" s="52" t="s">
        <v>742</v>
      </c>
      <c r="R3" s="52" t="s">
        <v>743</v>
      </c>
      <c r="S3" s="52" t="s">
        <v>744</v>
      </c>
      <c r="T3" s="52" t="s">
        <v>745</v>
      </c>
      <c r="U3" s="52" t="s">
        <v>746</v>
      </c>
      <c r="V3" s="52" t="s">
        <v>747</v>
      </c>
      <c r="W3" s="52" t="s">
        <v>748</v>
      </c>
      <c r="X3" s="52" t="s">
        <v>749</v>
      </c>
      <c r="Y3" s="52" t="s">
        <v>750</v>
      </c>
    </row>
    <row r="4" spans="1:25" ht="39" x14ac:dyDescent="0.25">
      <c r="A4" s="20" t="s">
        <v>751</v>
      </c>
      <c r="B4" s="25">
        <v>6208.4</v>
      </c>
      <c r="C4" s="25">
        <v>5978.1</v>
      </c>
      <c r="D4" s="25">
        <v>5923.8</v>
      </c>
      <c r="E4" s="25">
        <v>5831.1</v>
      </c>
      <c r="F4" s="25">
        <v>6106.3</v>
      </c>
      <c r="G4" s="25">
        <v>6343.5</v>
      </c>
      <c r="H4" s="25">
        <v>6740</v>
      </c>
      <c r="I4" s="25">
        <v>6563.9</v>
      </c>
      <c r="J4" s="25">
        <v>6625.9</v>
      </c>
      <c r="K4" s="25">
        <v>6406.6</v>
      </c>
      <c r="L4" s="25">
        <v>6319.3</v>
      </c>
      <c r="M4" s="25">
        <v>6436.9</v>
      </c>
      <c r="N4" s="25">
        <v>6211.9</v>
      </c>
      <c r="O4" s="25">
        <v>6106.9</v>
      </c>
      <c r="P4" s="25">
        <v>6324.7</v>
      </c>
      <c r="Q4" s="25">
        <v>6470.9</v>
      </c>
      <c r="R4" s="25">
        <v>6386.1</v>
      </c>
      <c r="S4" s="25">
        <v>6565.3</v>
      </c>
      <c r="T4" s="25">
        <v>6906.3</v>
      </c>
      <c r="U4" s="25">
        <v>6675.3</v>
      </c>
      <c r="V4" s="25">
        <v>7015.6</v>
      </c>
      <c r="W4" s="25">
        <v>7284.6</v>
      </c>
      <c r="X4" s="25">
        <v>7300.7</v>
      </c>
      <c r="Y4" s="25">
        <v>7184</v>
      </c>
    </row>
    <row r="5" spans="1:25" ht="26.25" x14ac:dyDescent="0.25">
      <c r="A5" s="20" t="s">
        <v>752</v>
      </c>
      <c r="B5" s="25">
        <v>2462</v>
      </c>
      <c r="C5" s="25">
        <v>2074</v>
      </c>
      <c r="D5" s="25">
        <v>1940</v>
      </c>
      <c r="E5" s="25">
        <v>1911</v>
      </c>
      <c r="F5" s="25">
        <v>2368</v>
      </c>
      <c r="G5" s="25">
        <v>2336</v>
      </c>
      <c r="H5" s="25">
        <v>2592</v>
      </c>
      <c r="I5" s="25">
        <v>2484</v>
      </c>
      <c r="J5" s="25">
        <v>2405</v>
      </c>
      <c r="K5" s="25">
        <v>2549</v>
      </c>
      <c r="L5" s="25">
        <v>2214</v>
      </c>
      <c r="M5" s="25">
        <v>2344</v>
      </c>
      <c r="N5" s="25">
        <v>2400</v>
      </c>
      <c r="O5" s="25">
        <v>2256</v>
      </c>
      <c r="P5" s="25">
        <v>2460</v>
      </c>
      <c r="Q5" s="25">
        <v>2370</v>
      </c>
      <c r="R5" s="25">
        <v>2404</v>
      </c>
      <c r="S5" s="25">
        <v>2125</v>
      </c>
      <c r="T5" s="25">
        <v>2336</v>
      </c>
      <c r="U5" s="25">
        <v>2291</v>
      </c>
      <c r="V5" s="25">
        <v>2290</v>
      </c>
      <c r="W5" s="25">
        <v>2467</v>
      </c>
      <c r="X5" s="25">
        <v>2395</v>
      </c>
      <c r="Y5" s="25">
        <v>2459</v>
      </c>
    </row>
    <row r="6" spans="1:25" ht="26.25" x14ac:dyDescent="0.25">
      <c r="A6" s="20" t="s">
        <v>753</v>
      </c>
      <c r="B6" s="25">
        <v>3746</v>
      </c>
      <c r="C6" s="25">
        <v>3904</v>
      </c>
      <c r="D6" s="25">
        <v>3984</v>
      </c>
      <c r="E6" s="25">
        <v>3920</v>
      </c>
      <c r="F6" s="25">
        <v>3738</v>
      </c>
      <c r="G6" s="25">
        <v>4008</v>
      </c>
      <c r="H6" s="25">
        <v>4148</v>
      </c>
      <c r="I6" s="25">
        <v>4080</v>
      </c>
      <c r="J6" s="25">
        <v>4221</v>
      </c>
      <c r="K6" s="25">
        <v>3858</v>
      </c>
      <c r="L6" s="25">
        <v>4105</v>
      </c>
      <c r="M6" s="25">
        <v>4093</v>
      </c>
      <c r="N6" s="25">
        <v>3812</v>
      </c>
      <c r="O6" s="25">
        <v>3851</v>
      </c>
      <c r="P6" s="25">
        <v>3865</v>
      </c>
      <c r="Q6" s="25">
        <v>4101</v>
      </c>
      <c r="R6" s="25">
        <v>3982</v>
      </c>
      <c r="S6" s="25">
        <v>4440</v>
      </c>
      <c r="T6" s="25">
        <v>4570</v>
      </c>
      <c r="U6" s="25">
        <v>4384</v>
      </c>
      <c r="V6" s="25">
        <v>4726</v>
      </c>
      <c r="W6" s="25">
        <v>4818</v>
      </c>
      <c r="X6" s="25">
        <v>4906</v>
      </c>
      <c r="Y6" s="25">
        <v>4725</v>
      </c>
    </row>
    <row r="7" spans="1:25" ht="51.75" x14ac:dyDescent="0.25">
      <c r="A7" s="20" t="s">
        <v>754</v>
      </c>
      <c r="B7" s="34">
        <v>530.36699999999996</v>
      </c>
      <c r="C7" s="34">
        <v>445.92599999999999</v>
      </c>
      <c r="D7" s="34">
        <v>443.14299999999997</v>
      </c>
      <c r="E7" s="34">
        <v>398.73200000000003</v>
      </c>
      <c r="F7" s="34">
        <v>431.58800000000002</v>
      </c>
      <c r="G7" s="34">
        <v>618.27700000000004</v>
      </c>
      <c r="H7" s="34">
        <v>579.11</v>
      </c>
      <c r="I7" s="34">
        <v>553.76499999999999</v>
      </c>
      <c r="J7" s="34">
        <v>442.91199999999998</v>
      </c>
      <c r="K7" s="34">
        <v>571.245</v>
      </c>
      <c r="L7" s="34">
        <v>420.46199999999999</v>
      </c>
      <c r="M7" s="34">
        <v>483.91500000000002</v>
      </c>
      <c r="N7" s="34">
        <v>618.58699999999999</v>
      </c>
      <c r="O7" s="34">
        <v>522.75099999999998</v>
      </c>
      <c r="P7" s="34">
        <v>520.38400000000001</v>
      </c>
      <c r="Q7" s="34">
        <v>565.45699999999999</v>
      </c>
      <c r="R7" s="34">
        <v>598.46699999999998</v>
      </c>
      <c r="S7" s="34">
        <v>597.70500000000004</v>
      </c>
      <c r="T7" s="34">
        <v>477.65300000000002</v>
      </c>
      <c r="U7" s="34">
        <v>409.089</v>
      </c>
      <c r="V7" s="34">
        <v>509.46</v>
      </c>
      <c r="W7" s="34">
        <v>515.09100000000001</v>
      </c>
      <c r="X7" s="34">
        <v>499.65499999999997</v>
      </c>
      <c r="Y7" s="34">
        <v>701.995</v>
      </c>
    </row>
    <row r="8" spans="1:25" x14ac:dyDescent="0.25">
      <c r="A8" s="2" t="s">
        <v>755</v>
      </c>
    </row>
    <row r="9" spans="1:25" x14ac:dyDescent="0.25">
      <c r="A9" s="14" t="s">
        <v>756</v>
      </c>
      <c r="B9" s="51">
        <v>0.2</v>
      </c>
    </row>
    <row r="10" spans="1:25" x14ac:dyDescent="0.25">
      <c r="A10" s="14" t="s">
        <v>757</v>
      </c>
      <c r="B10" s="51">
        <v>0.16</v>
      </c>
    </row>
    <row r="11" spans="1:25" x14ac:dyDescent="0.25">
      <c r="A11" s="14" t="s">
        <v>758</v>
      </c>
      <c r="B11" s="51">
        <v>0.14000000000000001</v>
      </c>
    </row>
    <row r="12" spans="1:25" x14ac:dyDescent="0.25">
      <c r="A12" s="14" t="s">
        <v>759</v>
      </c>
      <c r="B12" s="51">
        <v>0.13</v>
      </c>
    </row>
    <row r="13" spans="1:25" x14ac:dyDescent="0.25">
      <c r="A13" s="14" t="s">
        <v>760</v>
      </c>
      <c r="B13" s="51">
        <v>0.1</v>
      </c>
    </row>
    <row r="14" spans="1:25" x14ac:dyDescent="0.25">
      <c r="A14" s="14" t="s">
        <v>761</v>
      </c>
      <c r="B14" s="51">
        <v>0.09</v>
      </c>
    </row>
    <row r="15" spans="1:25" x14ac:dyDescent="0.25">
      <c r="A15" s="14" t="s">
        <v>762</v>
      </c>
      <c r="B15" s="51">
        <v>0.08</v>
      </c>
    </row>
    <row r="16" spans="1:25" x14ac:dyDescent="0.25">
      <c r="A16" s="14" t="s">
        <v>763</v>
      </c>
      <c r="B16" s="51">
        <v>0.1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Y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J15" sqref="J15"/>
    </sheetView>
  </sheetViews>
  <sheetFormatPr defaultRowHeight="15" x14ac:dyDescent="0.25"/>
  <cols>
    <col min="1" max="1" width="19.5703125" customWidth="1"/>
    <col min="2" max="25" width="10" customWidth="1"/>
  </cols>
  <sheetData>
    <row r="1" spans="1:25" ht="20.25" x14ac:dyDescent="0.3">
      <c r="A1" s="66" t="s">
        <v>764</v>
      </c>
      <c r="B1" s="64"/>
      <c r="C1" s="64"/>
      <c r="D1" s="64"/>
      <c r="E1" s="64"/>
      <c r="F1" s="64"/>
      <c r="G1" s="64"/>
      <c r="H1" s="64"/>
    </row>
    <row r="2" spans="1:25" x14ac:dyDescent="0.25">
      <c r="A2" s="72" t="s">
        <v>726</v>
      </c>
      <c r="B2" s="64"/>
      <c r="C2" s="64"/>
      <c r="D2" s="64"/>
      <c r="E2" s="64"/>
      <c r="F2" s="64"/>
      <c r="G2" s="64"/>
      <c r="H2" s="64"/>
    </row>
    <row r="3" spans="1:25" x14ac:dyDescent="0.25">
      <c r="B3" s="52" t="s">
        <v>727</v>
      </c>
      <c r="C3" s="52" t="s">
        <v>728</v>
      </c>
      <c r="D3" s="52" t="s">
        <v>729</v>
      </c>
      <c r="E3" s="52" t="s">
        <v>730</v>
      </c>
      <c r="F3" s="52" t="s">
        <v>731</v>
      </c>
      <c r="G3" s="52" t="s">
        <v>732</v>
      </c>
      <c r="H3" s="52" t="s">
        <v>733</v>
      </c>
      <c r="I3" s="52" t="s">
        <v>734</v>
      </c>
      <c r="J3" s="52" t="s">
        <v>735</v>
      </c>
      <c r="K3" s="52" t="s">
        <v>736</v>
      </c>
      <c r="L3" s="52" t="s">
        <v>737</v>
      </c>
      <c r="M3" s="52" t="s">
        <v>738</v>
      </c>
      <c r="N3" s="52" t="s">
        <v>739</v>
      </c>
      <c r="O3" s="52" t="s">
        <v>740</v>
      </c>
      <c r="P3" s="52" t="s">
        <v>741</v>
      </c>
      <c r="Q3" s="52" t="s">
        <v>742</v>
      </c>
      <c r="R3" s="52" t="s">
        <v>743</v>
      </c>
      <c r="S3" s="52" t="s">
        <v>744</v>
      </c>
      <c r="T3" s="52" t="s">
        <v>745</v>
      </c>
      <c r="U3" s="52" t="s">
        <v>746</v>
      </c>
      <c r="V3" s="52" t="s">
        <v>747</v>
      </c>
      <c r="W3" s="52" t="s">
        <v>748</v>
      </c>
      <c r="X3" s="52" t="s">
        <v>749</v>
      </c>
      <c r="Y3" s="52" t="s">
        <v>750</v>
      </c>
    </row>
    <row r="4" spans="1:25" ht="39" x14ac:dyDescent="0.25">
      <c r="A4" s="20" t="s">
        <v>765</v>
      </c>
      <c r="B4" s="25">
        <v>302.5</v>
      </c>
      <c r="C4" s="25">
        <v>300.2</v>
      </c>
      <c r="D4" s="25">
        <v>313.2</v>
      </c>
      <c r="E4" s="25">
        <v>314.8</v>
      </c>
      <c r="F4" s="25">
        <v>339.6</v>
      </c>
      <c r="G4" s="25">
        <v>344.6</v>
      </c>
      <c r="H4" s="25">
        <v>340.9</v>
      </c>
      <c r="I4" s="25">
        <v>336.4</v>
      </c>
      <c r="J4" s="25">
        <v>345.9</v>
      </c>
      <c r="K4" s="25">
        <v>342.2</v>
      </c>
      <c r="L4" s="25">
        <v>352.8</v>
      </c>
      <c r="M4" s="25">
        <v>377.7</v>
      </c>
      <c r="N4" s="25">
        <v>380.7</v>
      </c>
      <c r="O4" s="25">
        <v>375.8</v>
      </c>
      <c r="P4" s="25">
        <v>405.6</v>
      </c>
      <c r="Q4" s="25">
        <v>414.1</v>
      </c>
      <c r="R4" s="25">
        <v>404.1</v>
      </c>
      <c r="S4" s="25">
        <v>391.9</v>
      </c>
      <c r="T4" s="25">
        <v>382.2</v>
      </c>
      <c r="U4" s="25">
        <v>395.6</v>
      </c>
      <c r="V4" s="25">
        <v>416.6</v>
      </c>
      <c r="W4" s="25">
        <v>421.4</v>
      </c>
      <c r="X4" s="25">
        <v>410.3</v>
      </c>
      <c r="Y4" s="25">
        <v>413.2</v>
      </c>
    </row>
    <row r="5" spans="1:25" ht="26.25" x14ac:dyDescent="0.25">
      <c r="A5" s="20" t="s">
        <v>766</v>
      </c>
      <c r="B5" s="33">
        <v>4.3</v>
      </c>
      <c r="C5" s="33">
        <v>3.8</v>
      </c>
      <c r="D5" s="33">
        <v>4.3</v>
      </c>
      <c r="E5" s="33">
        <v>4.2</v>
      </c>
      <c r="F5" s="33">
        <v>3.3</v>
      </c>
      <c r="G5" s="33">
        <v>4</v>
      </c>
      <c r="H5" s="33">
        <v>4</v>
      </c>
      <c r="I5" s="33">
        <v>3.8</v>
      </c>
      <c r="J5" s="33">
        <v>3.6</v>
      </c>
      <c r="K5" s="33">
        <v>3.9</v>
      </c>
      <c r="L5" s="33">
        <v>3.4</v>
      </c>
      <c r="M5" s="33">
        <v>3.7</v>
      </c>
      <c r="N5" s="33">
        <v>3.8</v>
      </c>
      <c r="O5" s="33">
        <v>4.3</v>
      </c>
      <c r="P5" s="33">
        <v>4.2</v>
      </c>
      <c r="Q5" s="33">
        <v>3.6</v>
      </c>
      <c r="R5" s="33">
        <v>3.8</v>
      </c>
      <c r="S5" s="33">
        <v>3.5</v>
      </c>
      <c r="T5" s="33">
        <v>4.2</v>
      </c>
      <c r="U5" s="33">
        <v>4.2</v>
      </c>
      <c r="V5" s="33">
        <v>3.6</v>
      </c>
      <c r="W5" s="33">
        <v>3.9</v>
      </c>
      <c r="X5" s="33">
        <v>3.9</v>
      </c>
      <c r="Y5" s="33">
        <v>3.5</v>
      </c>
    </row>
    <row r="6" spans="1:25" ht="26.25" x14ac:dyDescent="0.25">
      <c r="A6" s="20" t="s">
        <v>514</v>
      </c>
      <c r="B6" s="25">
        <v>1301</v>
      </c>
      <c r="C6" s="25">
        <v>1141</v>
      </c>
      <c r="D6" s="25">
        <v>1347</v>
      </c>
      <c r="E6" s="25">
        <v>1322</v>
      </c>
      <c r="F6" s="25">
        <v>1121</v>
      </c>
      <c r="G6" s="25">
        <v>1378</v>
      </c>
      <c r="H6" s="25">
        <v>1364</v>
      </c>
      <c r="I6" s="25">
        <v>1278</v>
      </c>
      <c r="J6" s="25">
        <v>1245</v>
      </c>
      <c r="K6" s="25">
        <v>1335</v>
      </c>
      <c r="L6" s="25">
        <v>1200</v>
      </c>
      <c r="M6" s="25">
        <v>1397</v>
      </c>
      <c r="N6" s="25">
        <v>1447</v>
      </c>
      <c r="O6" s="25">
        <v>1616</v>
      </c>
      <c r="P6" s="25">
        <v>1704</v>
      </c>
      <c r="Q6" s="25">
        <v>1491</v>
      </c>
      <c r="R6" s="25">
        <v>1536</v>
      </c>
      <c r="S6" s="25">
        <v>1372</v>
      </c>
      <c r="T6" s="25">
        <v>1605</v>
      </c>
      <c r="U6" s="25">
        <v>1662</v>
      </c>
      <c r="V6" s="25">
        <v>1500</v>
      </c>
      <c r="W6" s="25">
        <v>1643</v>
      </c>
      <c r="X6" s="25">
        <v>1600</v>
      </c>
      <c r="Y6" s="25">
        <v>1446</v>
      </c>
    </row>
    <row r="7" spans="1:25" ht="39" x14ac:dyDescent="0.25">
      <c r="A7" s="20" t="s">
        <v>767</v>
      </c>
      <c r="B7" s="34">
        <v>3.9E-2</v>
      </c>
      <c r="C7" s="34">
        <v>3.3000000000000002E-2</v>
      </c>
      <c r="D7" s="34">
        <v>3.9E-2</v>
      </c>
      <c r="E7" s="34">
        <v>3.3000000000000002E-2</v>
      </c>
      <c r="F7" s="34">
        <v>0.02</v>
      </c>
      <c r="G7" s="34">
        <v>2.8000000000000001E-2</v>
      </c>
      <c r="H7" s="34">
        <v>0.02</v>
      </c>
      <c r="I7" s="34">
        <v>4.2999999999999997E-2</v>
      </c>
      <c r="J7" s="34">
        <v>4.2000000000000003E-2</v>
      </c>
      <c r="K7" s="34">
        <v>4.1000000000000002E-2</v>
      </c>
      <c r="L7" s="34">
        <v>2.8000000000000001E-2</v>
      </c>
      <c r="M7" s="34">
        <v>2.1000000000000001E-2</v>
      </c>
      <c r="N7" s="34">
        <v>4.2000000000000003E-2</v>
      </c>
      <c r="O7" s="34">
        <v>4.3999999999999997E-2</v>
      </c>
      <c r="P7" s="34">
        <v>2.1999999999999999E-2</v>
      </c>
      <c r="Q7" s="34">
        <v>3.2000000000000001E-2</v>
      </c>
      <c r="R7" s="34">
        <v>2.1999999999999999E-2</v>
      </c>
      <c r="S7" s="34">
        <v>3.9E-2</v>
      </c>
      <c r="T7" s="34">
        <v>3.9E-2</v>
      </c>
      <c r="U7" s="34">
        <v>2.3E-2</v>
      </c>
      <c r="V7" s="34">
        <v>3.2000000000000001E-2</v>
      </c>
      <c r="W7" s="34">
        <v>3.4000000000000002E-2</v>
      </c>
      <c r="X7" s="34">
        <v>2.7E-2</v>
      </c>
      <c r="Y7" s="34">
        <v>4.2000000000000003E-2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Y7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H1"/>
    </sheetView>
  </sheetViews>
  <sheetFormatPr defaultRowHeight="15" x14ac:dyDescent="0.25"/>
  <cols>
    <col min="2" max="25" width="10" customWidth="1"/>
  </cols>
  <sheetData>
    <row r="1" spans="1:25" ht="20.25" x14ac:dyDescent="0.3">
      <c r="A1" s="66" t="s">
        <v>768</v>
      </c>
      <c r="B1" s="64"/>
      <c r="C1" s="64"/>
      <c r="D1" s="64"/>
      <c r="E1" s="64"/>
      <c r="F1" s="64"/>
      <c r="G1" s="64"/>
      <c r="H1" s="64"/>
    </row>
    <row r="2" spans="1:25" x14ac:dyDescent="0.25">
      <c r="A2" s="72" t="s">
        <v>726</v>
      </c>
      <c r="B2" s="64"/>
      <c r="C2" s="64"/>
      <c r="D2" s="64"/>
      <c r="E2" s="64"/>
      <c r="F2" s="64"/>
      <c r="G2" s="64"/>
      <c r="H2" s="64"/>
    </row>
    <row r="3" spans="1:25" x14ac:dyDescent="0.25">
      <c r="B3" s="52" t="s">
        <v>727</v>
      </c>
      <c r="C3" s="52" t="s">
        <v>728</v>
      </c>
      <c r="D3" s="52" t="s">
        <v>729</v>
      </c>
      <c r="E3" s="52" t="s">
        <v>730</v>
      </c>
      <c r="F3" s="52" t="s">
        <v>731</v>
      </c>
      <c r="G3" s="52" t="s">
        <v>732</v>
      </c>
      <c r="H3" s="52" t="s">
        <v>733</v>
      </c>
      <c r="I3" s="52" t="s">
        <v>734</v>
      </c>
      <c r="J3" s="52" t="s">
        <v>735</v>
      </c>
      <c r="K3" s="52" t="s">
        <v>736</v>
      </c>
      <c r="L3" s="52" t="s">
        <v>737</v>
      </c>
      <c r="M3" s="52" t="s">
        <v>738</v>
      </c>
      <c r="N3" s="52" t="s">
        <v>739</v>
      </c>
      <c r="O3" s="52" t="s">
        <v>740</v>
      </c>
      <c r="P3" s="52" t="s">
        <v>741</v>
      </c>
      <c r="Q3" s="52" t="s">
        <v>742</v>
      </c>
      <c r="R3" s="52" t="s">
        <v>743</v>
      </c>
      <c r="S3" s="52" t="s">
        <v>744</v>
      </c>
      <c r="T3" s="52" t="s">
        <v>745</v>
      </c>
      <c r="U3" s="52" t="s">
        <v>746</v>
      </c>
      <c r="V3" s="52" t="s">
        <v>747</v>
      </c>
      <c r="W3" s="52" t="s">
        <v>748</v>
      </c>
      <c r="X3" s="52" t="s">
        <v>749</v>
      </c>
      <c r="Y3" s="52" t="s">
        <v>750</v>
      </c>
    </row>
    <row r="4" spans="1:25" ht="26.25" x14ac:dyDescent="0.25">
      <c r="A4" s="20" t="s">
        <v>769</v>
      </c>
      <c r="B4" s="25">
        <v>954</v>
      </c>
      <c r="C4" s="25">
        <v>930</v>
      </c>
      <c r="D4" s="25">
        <v>949.2</v>
      </c>
      <c r="E4" s="25">
        <v>994</v>
      </c>
      <c r="F4" s="25">
        <v>969.2</v>
      </c>
      <c r="G4" s="25">
        <v>958.7</v>
      </c>
      <c r="H4" s="25">
        <v>1038.9000000000001</v>
      </c>
      <c r="I4" s="25">
        <v>1074.4000000000001</v>
      </c>
      <c r="J4" s="25">
        <v>1082.3</v>
      </c>
      <c r="K4" s="25">
        <v>1100.9000000000001</v>
      </c>
      <c r="L4" s="25">
        <v>1067</v>
      </c>
      <c r="M4" s="25">
        <v>1046.4000000000001</v>
      </c>
      <c r="N4" s="25">
        <v>1040.5</v>
      </c>
      <c r="O4" s="25">
        <v>1067.9000000000001</v>
      </c>
      <c r="P4" s="25">
        <v>1048</v>
      </c>
      <c r="Q4" s="25">
        <v>1026.5</v>
      </c>
      <c r="R4" s="25">
        <v>984.9</v>
      </c>
      <c r="S4" s="25">
        <v>1017.1</v>
      </c>
      <c r="T4" s="25">
        <v>996.3</v>
      </c>
      <c r="U4" s="25">
        <v>1065.0999999999999</v>
      </c>
      <c r="V4" s="25">
        <v>1128.9000000000001</v>
      </c>
      <c r="W4" s="25">
        <v>1088.8</v>
      </c>
      <c r="X4" s="25">
        <v>1070.3</v>
      </c>
      <c r="Y4" s="25">
        <v>1108.8</v>
      </c>
    </row>
    <row r="5" spans="1:25" ht="39" x14ac:dyDescent="0.25">
      <c r="A5" s="20" t="s">
        <v>770</v>
      </c>
      <c r="B5" s="34">
        <v>0.19700000000000001</v>
      </c>
      <c r="C5" s="34">
        <v>0.191</v>
      </c>
      <c r="D5" s="34">
        <v>0.255</v>
      </c>
      <c r="E5" s="34">
        <v>0.22600000000000001</v>
      </c>
      <c r="F5" s="34">
        <v>0.218</v>
      </c>
      <c r="G5" s="34">
        <v>0.24299999999999999</v>
      </c>
      <c r="H5" s="34">
        <v>0.245</v>
      </c>
      <c r="I5" s="34">
        <v>0.19500000000000001</v>
      </c>
      <c r="J5" s="34">
        <v>0.188</v>
      </c>
      <c r="K5" s="34">
        <v>0.214</v>
      </c>
      <c r="L5" s="34">
        <v>0.214</v>
      </c>
      <c r="M5" s="34">
        <v>0.217</v>
      </c>
      <c r="N5" s="34">
        <v>0.23799999999999999</v>
      </c>
      <c r="O5" s="34">
        <v>0.23400000000000001</v>
      </c>
      <c r="P5" s="34">
        <v>0.25900000000000001</v>
      </c>
      <c r="Q5" s="34">
        <v>0.188</v>
      </c>
      <c r="R5" s="34">
        <v>0.21199999999999999</v>
      </c>
      <c r="S5" s="34">
        <v>0.20699999999999999</v>
      </c>
      <c r="T5" s="34">
        <v>0.249</v>
      </c>
      <c r="U5" s="34">
        <v>0.2</v>
      </c>
      <c r="V5" s="34">
        <v>0.19500000000000001</v>
      </c>
      <c r="W5" s="34">
        <v>0.216</v>
      </c>
      <c r="X5" s="34">
        <v>0.214</v>
      </c>
      <c r="Y5" s="34">
        <v>0.20200000000000001</v>
      </c>
    </row>
    <row r="6" spans="1:25" ht="51.75" x14ac:dyDescent="0.25">
      <c r="A6" s="20" t="s">
        <v>771</v>
      </c>
      <c r="B6" s="25">
        <v>117.6</v>
      </c>
      <c r="C6" s="25">
        <v>128.1</v>
      </c>
      <c r="D6" s="25">
        <v>129.5</v>
      </c>
      <c r="E6" s="25">
        <v>139.1</v>
      </c>
      <c r="F6" s="25">
        <v>142.80000000000001</v>
      </c>
      <c r="G6" s="25">
        <v>137</v>
      </c>
      <c r="H6" s="25">
        <v>149.4</v>
      </c>
      <c r="I6" s="25">
        <v>158.80000000000001</v>
      </c>
      <c r="J6" s="25">
        <v>171</v>
      </c>
      <c r="K6" s="25">
        <v>182.6</v>
      </c>
      <c r="L6" s="25">
        <v>192.9</v>
      </c>
      <c r="M6" s="25">
        <v>190.4</v>
      </c>
      <c r="N6" s="25">
        <v>193.9</v>
      </c>
      <c r="O6" s="25">
        <v>192.3</v>
      </c>
      <c r="P6" s="25">
        <v>194.3</v>
      </c>
      <c r="Q6" s="25">
        <v>189.7</v>
      </c>
      <c r="R6" s="25">
        <v>191.1</v>
      </c>
      <c r="S6" s="25">
        <v>204.3</v>
      </c>
      <c r="T6" s="25">
        <v>203.9</v>
      </c>
      <c r="U6" s="25">
        <v>213.4</v>
      </c>
      <c r="V6" s="25">
        <v>216.8</v>
      </c>
      <c r="W6" s="25">
        <v>219.7</v>
      </c>
      <c r="X6" s="25">
        <v>232.8</v>
      </c>
      <c r="Y6" s="25">
        <v>247</v>
      </c>
    </row>
    <row r="7" spans="1:25" ht="39" x14ac:dyDescent="0.25">
      <c r="A7" s="20" t="s">
        <v>599</v>
      </c>
      <c r="B7" s="34">
        <v>0.66100000000000003</v>
      </c>
      <c r="C7" s="34">
        <v>0.69399999999999995</v>
      </c>
      <c r="D7" s="34">
        <v>0.58099999999999996</v>
      </c>
      <c r="E7" s="34">
        <v>0.60899999999999999</v>
      </c>
      <c r="F7" s="34">
        <v>0.74399999999999999</v>
      </c>
      <c r="G7" s="34">
        <v>0.66600000000000004</v>
      </c>
      <c r="H7" s="34">
        <v>0.65800000000000003</v>
      </c>
      <c r="I7" s="34">
        <v>0.7</v>
      </c>
      <c r="J7" s="34">
        <v>0.56100000000000005</v>
      </c>
      <c r="K7" s="34">
        <v>0.66700000000000004</v>
      </c>
      <c r="L7" s="34">
        <v>0.65100000000000002</v>
      </c>
      <c r="M7" s="34">
        <v>0.72099999999999997</v>
      </c>
      <c r="N7" s="34">
        <v>0.58099999999999996</v>
      </c>
      <c r="O7" s="34">
        <v>0.74199999999999999</v>
      </c>
      <c r="P7" s="34">
        <v>0.56599999999999995</v>
      </c>
      <c r="Q7" s="34">
        <v>0.58699999999999997</v>
      </c>
      <c r="R7" s="34">
        <v>0.66900000000000004</v>
      </c>
      <c r="S7" s="34">
        <v>0.68500000000000005</v>
      </c>
      <c r="T7" s="34">
        <v>0.59699999999999998</v>
      </c>
      <c r="U7" s="34">
        <v>0.57399999999999995</v>
      </c>
      <c r="V7" s="34">
        <v>0.72799999999999998</v>
      </c>
      <c r="W7" s="34">
        <v>0.59899999999999998</v>
      </c>
      <c r="X7" s="34">
        <v>0.66900000000000004</v>
      </c>
      <c r="Y7" s="34">
        <v>0.67400000000000004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Y7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H1"/>
    </sheetView>
  </sheetViews>
  <sheetFormatPr defaultRowHeight="15" x14ac:dyDescent="0.25"/>
  <cols>
    <col min="2" max="25" width="10" customWidth="1"/>
  </cols>
  <sheetData>
    <row r="1" spans="1:25" ht="20.25" x14ac:dyDescent="0.3">
      <c r="A1" s="66" t="s">
        <v>772</v>
      </c>
      <c r="B1" s="64"/>
      <c r="C1" s="64"/>
      <c r="D1" s="64"/>
      <c r="E1" s="64"/>
      <c r="F1" s="64"/>
      <c r="G1" s="64"/>
      <c r="H1" s="64"/>
    </row>
    <row r="2" spans="1:25" x14ac:dyDescent="0.25">
      <c r="A2" s="72" t="s">
        <v>726</v>
      </c>
      <c r="B2" s="64"/>
      <c r="C2" s="64"/>
      <c r="D2" s="64"/>
      <c r="E2" s="64"/>
      <c r="F2" s="64"/>
      <c r="G2" s="64"/>
      <c r="H2" s="64"/>
    </row>
    <row r="3" spans="1:25" x14ac:dyDescent="0.25">
      <c r="B3" s="52" t="s">
        <v>727</v>
      </c>
      <c r="C3" s="52" t="s">
        <v>728</v>
      </c>
      <c r="D3" s="52" t="s">
        <v>729</v>
      </c>
      <c r="E3" s="52" t="s">
        <v>730</v>
      </c>
      <c r="F3" s="52" t="s">
        <v>731</v>
      </c>
      <c r="G3" s="52" t="s">
        <v>732</v>
      </c>
      <c r="H3" s="52" t="s">
        <v>733</v>
      </c>
      <c r="I3" s="52" t="s">
        <v>734</v>
      </c>
      <c r="J3" s="52" t="s">
        <v>735</v>
      </c>
      <c r="K3" s="52" t="s">
        <v>736</v>
      </c>
      <c r="L3" s="52" t="s">
        <v>737</v>
      </c>
      <c r="M3" s="52" t="s">
        <v>738</v>
      </c>
      <c r="N3" s="52" t="s">
        <v>739</v>
      </c>
      <c r="O3" s="52" t="s">
        <v>740</v>
      </c>
      <c r="P3" s="52" t="s">
        <v>741</v>
      </c>
      <c r="Q3" s="52" t="s">
        <v>742</v>
      </c>
      <c r="R3" s="52" t="s">
        <v>743</v>
      </c>
      <c r="S3" s="52" t="s">
        <v>744</v>
      </c>
      <c r="T3" s="52" t="s">
        <v>745</v>
      </c>
      <c r="U3" s="52" t="s">
        <v>746</v>
      </c>
      <c r="V3" s="52" t="s">
        <v>747</v>
      </c>
      <c r="W3" s="52" t="s">
        <v>748</v>
      </c>
      <c r="X3" s="52" t="s">
        <v>749</v>
      </c>
      <c r="Y3" s="52" t="s">
        <v>750</v>
      </c>
    </row>
    <row r="4" spans="1:25" ht="39" x14ac:dyDescent="0.25">
      <c r="A4" s="20" t="s">
        <v>773</v>
      </c>
      <c r="B4" s="25">
        <v>9078.2000000000007</v>
      </c>
      <c r="C4" s="25">
        <v>9365.2000000000007</v>
      </c>
      <c r="D4" s="25">
        <v>9581.2000000000007</v>
      </c>
      <c r="E4" s="25">
        <v>10320.6</v>
      </c>
      <c r="F4" s="25">
        <v>10154.4</v>
      </c>
      <c r="G4" s="25">
        <v>10629.8</v>
      </c>
      <c r="H4" s="25">
        <v>10513.2</v>
      </c>
      <c r="I4" s="25">
        <v>10592.1</v>
      </c>
      <c r="J4" s="25">
        <v>11020.3</v>
      </c>
      <c r="K4" s="25">
        <v>10988.7</v>
      </c>
      <c r="L4" s="25">
        <v>10976.9</v>
      </c>
      <c r="M4" s="25">
        <v>11513.8</v>
      </c>
      <c r="N4" s="25">
        <v>11205.4</v>
      </c>
      <c r="O4" s="25">
        <v>11377</v>
      </c>
      <c r="P4" s="25">
        <v>12232.6</v>
      </c>
      <c r="Q4" s="25">
        <v>13102.3</v>
      </c>
      <c r="R4" s="25">
        <v>12826.7</v>
      </c>
      <c r="S4" s="25">
        <v>12721.8</v>
      </c>
      <c r="T4" s="25">
        <v>12680.4</v>
      </c>
      <c r="U4" s="25">
        <v>13479.9</v>
      </c>
      <c r="V4" s="25">
        <v>14229.4</v>
      </c>
      <c r="W4" s="25">
        <v>14991.8</v>
      </c>
      <c r="X4" s="25">
        <v>15127.3</v>
      </c>
      <c r="Y4" s="25">
        <v>14998.6</v>
      </c>
    </row>
    <row r="5" spans="1:25" ht="51.75" x14ac:dyDescent="0.25">
      <c r="A5" s="20" t="s">
        <v>774</v>
      </c>
      <c r="B5" s="25">
        <v>1502.8</v>
      </c>
      <c r="C5" s="25">
        <v>1578.4</v>
      </c>
      <c r="D5" s="25">
        <v>1635</v>
      </c>
      <c r="E5" s="25">
        <v>1776.8</v>
      </c>
      <c r="F5" s="25">
        <v>1846.9</v>
      </c>
      <c r="G5" s="25">
        <v>1773.5</v>
      </c>
      <c r="H5" s="25">
        <v>1880.1</v>
      </c>
      <c r="I5" s="25">
        <v>1872.7</v>
      </c>
      <c r="J5" s="25">
        <v>1946.8</v>
      </c>
      <c r="K5" s="25">
        <v>2084</v>
      </c>
      <c r="L5" s="25">
        <v>2043.8</v>
      </c>
      <c r="M5" s="25">
        <v>1998.5</v>
      </c>
      <c r="N5" s="25">
        <v>1950.5</v>
      </c>
      <c r="O5" s="25">
        <v>2001.4</v>
      </c>
      <c r="P5" s="25">
        <v>1990.4</v>
      </c>
      <c r="Q5" s="25">
        <v>2053.6999999999998</v>
      </c>
      <c r="R5" s="25">
        <v>2143.5</v>
      </c>
      <c r="S5" s="25">
        <v>2120</v>
      </c>
      <c r="T5" s="25">
        <v>2192.5</v>
      </c>
      <c r="U5" s="25">
        <v>2183.5</v>
      </c>
      <c r="V5" s="25">
        <v>2224.6</v>
      </c>
      <c r="W5" s="25">
        <v>2359.9</v>
      </c>
      <c r="X5" s="25">
        <v>2484.6</v>
      </c>
      <c r="Y5" s="25">
        <v>2442.9</v>
      </c>
    </row>
    <row r="6" spans="1:25" ht="51.75" x14ac:dyDescent="0.25">
      <c r="A6" s="20" t="s">
        <v>775</v>
      </c>
      <c r="B6" s="25">
        <v>7554.8</v>
      </c>
      <c r="C6" s="25">
        <v>7456.3</v>
      </c>
      <c r="D6" s="25">
        <v>7069.2</v>
      </c>
      <c r="E6" s="25">
        <v>7481.1</v>
      </c>
      <c r="F6" s="25">
        <v>7759.7</v>
      </c>
      <c r="G6" s="25">
        <v>7649.5</v>
      </c>
      <c r="H6" s="25">
        <v>8040.5</v>
      </c>
      <c r="I6" s="25">
        <v>8239.4</v>
      </c>
      <c r="J6" s="25">
        <v>8311.7999999999993</v>
      </c>
      <c r="K6" s="25">
        <v>7946.6</v>
      </c>
      <c r="L6" s="25">
        <v>7643.6</v>
      </c>
      <c r="M6" s="25">
        <v>8183.5</v>
      </c>
      <c r="N6" s="25">
        <v>8754.9</v>
      </c>
      <c r="O6" s="25">
        <v>8960.4</v>
      </c>
      <c r="P6" s="25">
        <v>9473</v>
      </c>
      <c r="Q6" s="25">
        <v>9730.1</v>
      </c>
      <c r="R6" s="25">
        <v>9535.7999999999993</v>
      </c>
      <c r="S6" s="25">
        <v>9316.2000000000007</v>
      </c>
      <c r="T6" s="25">
        <v>9282.6</v>
      </c>
      <c r="U6" s="25">
        <v>9868.6</v>
      </c>
      <c r="V6" s="25">
        <v>10357.200000000001</v>
      </c>
      <c r="W6" s="25">
        <v>10922.3</v>
      </c>
      <c r="X6" s="25">
        <v>11537.8</v>
      </c>
      <c r="Y6" s="25">
        <v>11441.1</v>
      </c>
    </row>
    <row r="7" spans="1:25" ht="39" x14ac:dyDescent="0.25">
      <c r="A7" s="20" t="s">
        <v>776</v>
      </c>
      <c r="B7" s="33">
        <v>1.9</v>
      </c>
      <c r="C7" s="33">
        <v>1.7</v>
      </c>
      <c r="D7" s="33">
        <v>2.7</v>
      </c>
      <c r="E7" s="33">
        <v>2.8</v>
      </c>
      <c r="F7" s="33">
        <v>2.1</v>
      </c>
      <c r="G7" s="33">
        <v>2.4</v>
      </c>
      <c r="H7" s="33">
        <v>1.7</v>
      </c>
      <c r="I7" s="33">
        <v>2.9</v>
      </c>
      <c r="J7" s="33">
        <v>2.8</v>
      </c>
      <c r="K7" s="33">
        <v>3</v>
      </c>
      <c r="L7" s="33">
        <v>2.7</v>
      </c>
      <c r="M7" s="33">
        <v>2.8</v>
      </c>
      <c r="N7" s="33">
        <v>1.5</v>
      </c>
      <c r="O7" s="33">
        <v>2.6</v>
      </c>
      <c r="P7" s="33">
        <v>2</v>
      </c>
      <c r="Q7" s="33">
        <v>2.9</v>
      </c>
      <c r="R7" s="33">
        <v>2.7</v>
      </c>
      <c r="S7" s="33">
        <v>2.8</v>
      </c>
      <c r="T7" s="33">
        <v>2.7</v>
      </c>
      <c r="U7" s="33">
        <v>1.9</v>
      </c>
      <c r="V7" s="33">
        <v>2.7</v>
      </c>
      <c r="W7" s="33">
        <v>1.7</v>
      </c>
      <c r="X7" s="33">
        <v>2.8</v>
      </c>
      <c r="Y7" s="33">
        <v>2.8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Y7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H1"/>
    </sheetView>
  </sheetViews>
  <sheetFormatPr defaultRowHeight="15" x14ac:dyDescent="0.25"/>
  <cols>
    <col min="2" max="25" width="10" customWidth="1"/>
  </cols>
  <sheetData>
    <row r="1" spans="1:25" ht="20.25" x14ac:dyDescent="0.3">
      <c r="A1" s="66" t="s">
        <v>777</v>
      </c>
      <c r="B1" s="64"/>
      <c r="C1" s="64"/>
      <c r="D1" s="64"/>
      <c r="E1" s="64"/>
      <c r="F1" s="64"/>
      <c r="G1" s="64"/>
      <c r="H1" s="64"/>
    </row>
    <row r="2" spans="1:25" x14ac:dyDescent="0.25">
      <c r="A2" s="72" t="s">
        <v>726</v>
      </c>
      <c r="B2" s="64"/>
      <c r="C2" s="64"/>
      <c r="D2" s="64"/>
      <c r="E2" s="64"/>
      <c r="F2" s="64"/>
      <c r="G2" s="64"/>
      <c r="H2" s="64"/>
    </row>
    <row r="3" spans="1:25" x14ac:dyDescent="0.25">
      <c r="B3" s="52" t="s">
        <v>727</v>
      </c>
      <c r="C3" s="52" t="s">
        <v>728</v>
      </c>
      <c r="D3" s="52" t="s">
        <v>729</v>
      </c>
      <c r="E3" s="52" t="s">
        <v>730</v>
      </c>
      <c r="F3" s="52" t="s">
        <v>731</v>
      </c>
      <c r="G3" s="52" t="s">
        <v>732</v>
      </c>
      <c r="H3" s="52" t="s">
        <v>733</v>
      </c>
      <c r="I3" s="52" t="s">
        <v>734</v>
      </c>
      <c r="J3" s="52" t="s">
        <v>735</v>
      </c>
      <c r="K3" s="52" t="s">
        <v>736</v>
      </c>
      <c r="L3" s="52" t="s">
        <v>737</v>
      </c>
      <c r="M3" s="52" t="s">
        <v>738</v>
      </c>
      <c r="N3" s="52" t="s">
        <v>739</v>
      </c>
      <c r="O3" s="52" t="s">
        <v>740</v>
      </c>
      <c r="P3" s="52" t="s">
        <v>741</v>
      </c>
      <c r="Q3" s="52" t="s">
        <v>742</v>
      </c>
      <c r="R3" s="52" t="s">
        <v>743</v>
      </c>
      <c r="S3" s="52" t="s">
        <v>744</v>
      </c>
      <c r="T3" s="52" t="s">
        <v>745</v>
      </c>
      <c r="U3" s="52" t="s">
        <v>746</v>
      </c>
      <c r="V3" s="52" t="s">
        <v>747</v>
      </c>
      <c r="W3" s="52" t="s">
        <v>748</v>
      </c>
      <c r="X3" s="52" t="s">
        <v>749</v>
      </c>
      <c r="Y3" s="52" t="s">
        <v>750</v>
      </c>
    </row>
    <row r="4" spans="1:25" ht="51.75" x14ac:dyDescent="0.25">
      <c r="A4" s="20" t="s">
        <v>778</v>
      </c>
      <c r="B4" s="34">
        <v>0.33300000000000002</v>
      </c>
      <c r="C4" s="34">
        <v>0.38200000000000001</v>
      </c>
      <c r="D4" s="34">
        <v>0.374</v>
      </c>
      <c r="E4" s="34">
        <v>0.377</v>
      </c>
      <c r="F4" s="34">
        <v>0.42</v>
      </c>
      <c r="G4" s="34">
        <v>0.39900000000000002</v>
      </c>
      <c r="H4" s="34">
        <v>0.39900000000000002</v>
      </c>
      <c r="I4" s="34">
        <v>0.42299999999999999</v>
      </c>
      <c r="J4" s="34">
        <v>0.44400000000000001</v>
      </c>
      <c r="K4" s="34">
        <v>0.48899999999999999</v>
      </c>
      <c r="L4" s="34">
        <v>0.50800000000000001</v>
      </c>
      <c r="M4" s="34">
        <v>0.48</v>
      </c>
      <c r="N4" s="34">
        <v>0.51400000000000001</v>
      </c>
      <c r="O4" s="34">
        <v>0.51300000000000001</v>
      </c>
      <c r="P4" s="34">
        <v>0.56100000000000005</v>
      </c>
      <c r="Q4" s="34">
        <v>0.54700000000000004</v>
      </c>
      <c r="R4" s="34">
        <v>0.58399999999999996</v>
      </c>
      <c r="S4" s="34">
        <v>0.54800000000000004</v>
      </c>
      <c r="T4" s="34">
        <v>0.61199999999999999</v>
      </c>
      <c r="U4" s="34">
        <v>0.57799999999999996</v>
      </c>
      <c r="V4" s="34">
        <v>0.63800000000000001</v>
      </c>
      <c r="W4" s="34">
        <v>0.60899999999999999</v>
      </c>
      <c r="X4" s="34">
        <v>0.61299999999999999</v>
      </c>
      <c r="Y4" s="34">
        <v>0.64500000000000002</v>
      </c>
    </row>
    <row r="5" spans="1:25" ht="39" x14ac:dyDescent="0.25">
      <c r="A5" s="20" t="s">
        <v>779</v>
      </c>
      <c r="B5" s="34">
        <v>0.41799999999999998</v>
      </c>
      <c r="C5" s="34">
        <v>0.39900000000000002</v>
      </c>
      <c r="D5" s="34">
        <v>0.436</v>
      </c>
      <c r="E5" s="34">
        <v>0.443</v>
      </c>
      <c r="F5" s="34">
        <v>0.44700000000000001</v>
      </c>
      <c r="G5" s="34">
        <v>0.47599999999999998</v>
      </c>
      <c r="H5" s="34">
        <v>0.46400000000000002</v>
      </c>
      <c r="I5" s="34">
        <v>0.51500000000000001</v>
      </c>
      <c r="J5" s="34">
        <v>0.47199999999999998</v>
      </c>
      <c r="K5" s="34">
        <v>0.56000000000000005</v>
      </c>
      <c r="L5" s="34">
        <v>0.54300000000000004</v>
      </c>
      <c r="M5" s="34">
        <v>0.57199999999999995</v>
      </c>
      <c r="N5" s="34">
        <v>0.58699999999999997</v>
      </c>
      <c r="O5" s="34">
        <v>0.59599999999999997</v>
      </c>
      <c r="P5" s="34">
        <v>0.58499999999999996</v>
      </c>
      <c r="Q5" s="34">
        <v>0.57599999999999996</v>
      </c>
      <c r="R5" s="34">
        <v>0.63700000000000001</v>
      </c>
      <c r="S5" s="34">
        <v>0.624</v>
      </c>
      <c r="T5" s="34">
        <v>0.63700000000000001</v>
      </c>
      <c r="U5" s="34">
        <v>0.69399999999999995</v>
      </c>
      <c r="V5" s="34">
        <v>0.69799999999999995</v>
      </c>
      <c r="W5" s="34">
        <v>0.67800000000000005</v>
      </c>
      <c r="X5" s="34">
        <v>0.69299999999999995</v>
      </c>
      <c r="Y5" s="34">
        <v>0.71499999999999997</v>
      </c>
    </row>
    <row r="6" spans="1:25" ht="39" x14ac:dyDescent="0.25">
      <c r="A6" s="20" t="s">
        <v>780</v>
      </c>
      <c r="B6" s="34">
        <v>0.374</v>
      </c>
      <c r="C6" s="34">
        <v>0.378</v>
      </c>
      <c r="D6" s="34">
        <v>0.378</v>
      </c>
      <c r="E6" s="34">
        <v>0.40500000000000003</v>
      </c>
      <c r="F6" s="34">
        <v>0.44600000000000001</v>
      </c>
      <c r="G6" s="34">
        <v>0.441</v>
      </c>
      <c r="H6" s="34">
        <v>0.46400000000000002</v>
      </c>
      <c r="I6" s="34">
        <v>0.45700000000000002</v>
      </c>
      <c r="J6" s="34">
        <v>0.44800000000000001</v>
      </c>
      <c r="K6" s="34">
        <v>0.47299999999999998</v>
      </c>
      <c r="L6" s="34">
        <v>0.45</v>
      </c>
      <c r="M6" s="34">
        <v>0.47699999999999998</v>
      </c>
      <c r="N6" s="34">
        <v>0.496</v>
      </c>
      <c r="O6" s="34">
        <v>0.51500000000000001</v>
      </c>
      <c r="P6" s="34">
        <v>0.52900000000000003</v>
      </c>
      <c r="Q6" s="34">
        <v>0.52800000000000002</v>
      </c>
      <c r="R6" s="34">
        <v>0.53700000000000003</v>
      </c>
      <c r="S6" s="34">
        <v>0.53300000000000003</v>
      </c>
      <c r="T6" s="34">
        <v>0.55800000000000005</v>
      </c>
      <c r="U6" s="34">
        <v>0.59399999999999997</v>
      </c>
      <c r="V6" s="34">
        <v>0.59799999999999998</v>
      </c>
      <c r="W6" s="34">
        <v>0.56999999999999995</v>
      </c>
      <c r="X6" s="34">
        <v>0.57499999999999996</v>
      </c>
      <c r="Y6" s="34">
        <v>0.61099999999999999</v>
      </c>
    </row>
    <row r="7" spans="1:25" ht="39" x14ac:dyDescent="0.25">
      <c r="A7" s="20" t="s">
        <v>781</v>
      </c>
      <c r="B7" s="34">
        <v>0.375</v>
      </c>
      <c r="C7" s="34">
        <v>0.38600000000000001</v>
      </c>
      <c r="D7" s="34">
        <v>0.39600000000000002</v>
      </c>
      <c r="E7" s="34">
        <v>0.40799999999999997</v>
      </c>
      <c r="F7" s="34">
        <v>0.438</v>
      </c>
      <c r="G7" s="34">
        <v>0.439</v>
      </c>
      <c r="H7" s="34">
        <v>0.442</v>
      </c>
      <c r="I7" s="34">
        <v>0.46500000000000002</v>
      </c>
      <c r="J7" s="34">
        <v>0.45500000000000002</v>
      </c>
      <c r="K7" s="34">
        <v>0.50700000000000001</v>
      </c>
      <c r="L7" s="34">
        <v>0.5</v>
      </c>
      <c r="M7" s="34">
        <v>0.51</v>
      </c>
      <c r="N7" s="34">
        <v>0.53200000000000003</v>
      </c>
      <c r="O7" s="34">
        <v>0.54100000000000004</v>
      </c>
      <c r="P7" s="34">
        <v>0.55800000000000005</v>
      </c>
      <c r="Q7" s="34">
        <v>0.55000000000000004</v>
      </c>
      <c r="R7" s="34">
        <v>0.58599999999999997</v>
      </c>
      <c r="S7" s="34">
        <v>0.56799999999999995</v>
      </c>
      <c r="T7" s="34">
        <v>0.60199999999999998</v>
      </c>
      <c r="U7" s="34">
        <v>0.622</v>
      </c>
      <c r="V7" s="34">
        <v>0.64500000000000002</v>
      </c>
      <c r="W7" s="34">
        <v>0.61899999999999999</v>
      </c>
      <c r="X7" s="34">
        <v>0.627</v>
      </c>
      <c r="Y7" s="34">
        <v>0.65700000000000003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Y8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H1"/>
    </sheetView>
  </sheetViews>
  <sheetFormatPr defaultRowHeight="15" x14ac:dyDescent="0.25"/>
  <cols>
    <col min="2" max="25" width="10" customWidth="1"/>
  </cols>
  <sheetData>
    <row r="1" spans="1:25" ht="20.25" x14ac:dyDescent="0.3">
      <c r="A1" s="66" t="s">
        <v>782</v>
      </c>
      <c r="B1" s="64"/>
      <c r="C1" s="64"/>
      <c r="D1" s="64"/>
      <c r="E1" s="64"/>
      <c r="F1" s="64"/>
      <c r="G1" s="64"/>
      <c r="H1" s="64"/>
    </row>
    <row r="2" spans="1:25" x14ac:dyDescent="0.25">
      <c r="A2" s="72" t="s">
        <v>726</v>
      </c>
      <c r="B2" s="64"/>
      <c r="C2" s="64"/>
      <c r="D2" s="64"/>
      <c r="E2" s="64"/>
      <c r="F2" s="64"/>
      <c r="G2" s="64"/>
      <c r="H2" s="64"/>
    </row>
    <row r="3" spans="1:25" x14ac:dyDescent="0.25">
      <c r="B3" s="52" t="s">
        <v>727</v>
      </c>
      <c r="C3" s="52" t="s">
        <v>728</v>
      </c>
      <c r="D3" s="52" t="s">
        <v>729</v>
      </c>
      <c r="E3" s="52" t="s">
        <v>730</v>
      </c>
      <c r="F3" s="52" t="s">
        <v>731</v>
      </c>
      <c r="G3" s="52" t="s">
        <v>732</v>
      </c>
      <c r="H3" s="52" t="s">
        <v>733</v>
      </c>
      <c r="I3" s="52" t="s">
        <v>734</v>
      </c>
      <c r="J3" s="52" t="s">
        <v>735</v>
      </c>
      <c r="K3" s="52" t="s">
        <v>736</v>
      </c>
      <c r="L3" s="52" t="s">
        <v>737</v>
      </c>
      <c r="M3" s="52" t="s">
        <v>738</v>
      </c>
      <c r="N3" s="52" t="s">
        <v>739</v>
      </c>
      <c r="O3" s="52" t="s">
        <v>740</v>
      </c>
      <c r="P3" s="52" t="s">
        <v>741</v>
      </c>
      <c r="Q3" s="52" t="s">
        <v>742</v>
      </c>
      <c r="R3" s="52" t="s">
        <v>743</v>
      </c>
      <c r="S3" s="52" t="s">
        <v>744</v>
      </c>
      <c r="T3" s="52" t="s">
        <v>745</v>
      </c>
      <c r="U3" s="52" t="s">
        <v>746</v>
      </c>
      <c r="V3" s="52" t="s">
        <v>747</v>
      </c>
      <c r="W3" s="52" t="s">
        <v>748</v>
      </c>
      <c r="X3" s="52" t="s">
        <v>749</v>
      </c>
      <c r="Y3" s="52" t="s">
        <v>750</v>
      </c>
    </row>
    <row r="4" spans="1:25" ht="39" x14ac:dyDescent="0.25">
      <c r="A4" s="20" t="s">
        <v>783</v>
      </c>
      <c r="B4" s="33">
        <v>98.9</v>
      </c>
      <c r="C4" s="33">
        <v>98.8</v>
      </c>
      <c r="D4" s="33">
        <v>105.3</v>
      </c>
      <c r="E4" s="33">
        <v>110.9</v>
      </c>
      <c r="F4" s="33">
        <v>115.6</v>
      </c>
      <c r="G4" s="33">
        <v>114.5</v>
      </c>
      <c r="H4" s="33">
        <v>113</v>
      </c>
      <c r="I4" s="33">
        <v>109.2</v>
      </c>
      <c r="J4" s="33">
        <v>108.2</v>
      </c>
      <c r="K4" s="33">
        <v>110.3</v>
      </c>
      <c r="L4" s="33">
        <v>117.3</v>
      </c>
      <c r="M4" s="33">
        <v>114.2</v>
      </c>
      <c r="N4" s="33">
        <v>115.6</v>
      </c>
      <c r="O4" s="33">
        <v>119.9</v>
      </c>
      <c r="P4" s="33">
        <v>118.5</v>
      </c>
      <c r="Q4" s="33">
        <v>123.7</v>
      </c>
      <c r="R4" s="33">
        <v>126.3</v>
      </c>
      <c r="S4" s="33">
        <v>125.7</v>
      </c>
      <c r="T4" s="33">
        <v>130.5</v>
      </c>
      <c r="U4" s="33">
        <v>126.8</v>
      </c>
      <c r="V4" s="33">
        <v>133</v>
      </c>
      <c r="W4" s="33">
        <v>139.5</v>
      </c>
      <c r="X4" s="33">
        <v>137.30000000000001</v>
      </c>
      <c r="Y4" s="33">
        <v>139.30000000000001</v>
      </c>
    </row>
    <row r="5" spans="1:25" ht="39" x14ac:dyDescent="0.25">
      <c r="A5" s="20" t="s">
        <v>784</v>
      </c>
      <c r="B5" s="33">
        <v>21.3</v>
      </c>
      <c r="C5" s="33">
        <v>23.2</v>
      </c>
      <c r="D5" s="33">
        <v>23.7</v>
      </c>
      <c r="E5" s="33">
        <v>22.6</v>
      </c>
      <c r="F5" s="33">
        <v>22.1</v>
      </c>
      <c r="G5" s="33">
        <v>23.7</v>
      </c>
      <c r="H5" s="33">
        <v>24</v>
      </c>
      <c r="I5" s="33">
        <v>25.5</v>
      </c>
      <c r="J5" s="33">
        <v>26.5</v>
      </c>
      <c r="K5" s="33">
        <v>28.7</v>
      </c>
      <c r="L5" s="33">
        <v>29.6</v>
      </c>
      <c r="M5" s="33">
        <v>31.7</v>
      </c>
      <c r="N5" s="33">
        <v>33.700000000000003</v>
      </c>
      <c r="O5" s="33">
        <v>34.700000000000003</v>
      </c>
      <c r="P5" s="33">
        <v>36</v>
      </c>
      <c r="Q5" s="33">
        <v>36.700000000000003</v>
      </c>
      <c r="R5" s="33">
        <v>38.5</v>
      </c>
      <c r="S5" s="33">
        <v>39.4</v>
      </c>
      <c r="T5" s="33">
        <v>41.5</v>
      </c>
      <c r="U5" s="33">
        <v>43.1</v>
      </c>
      <c r="V5" s="33">
        <v>43.8</v>
      </c>
      <c r="W5" s="33">
        <v>43.7</v>
      </c>
      <c r="X5" s="33">
        <v>43.6</v>
      </c>
      <c r="Y5" s="33">
        <v>44.9</v>
      </c>
    </row>
    <row r="6" spans="1:25" ht="51.75" x14ac:dyDescent="0.25">
      <c r="A6" s="20" t="s">
        <v>785</v>
      </c>
      <c r="B6" s="33">
        <v>19.100000000000001</v>
      </c>
      <c r="C6" s="33">
        <v>19.5</v>
      </c>
      <c r="D6" s="33">
        <v>20.2</v>
      </c>
      <c r="E6" s="33">
        <v>19.899999999999999</v>
      </c>
      <c r="F6" s="33">
        <v>19.100000000000001</v>
      </c>
      <c r="G6" s="33">
        <v>18.8</v>
      </c>
      <c r="H6" s="33">
        <v>18.5</v>
      </c>
      <c r="I6" s="33">
        <v>18.3</v>
      </c>
      <c r="J6" s="33">
        <v>18.7</v>
      </c>
      <c r="K6" s="33">
        <v>18</v>
      </c>
      <c r="L6" s="33">
        <v>17.600000000000001</v>
      </c>
      <c r="M6" s="33">
        <v>18.5</v>
      </c>
      <c r="N6" s="33">
        <v>19.399999999999999</v>
      </c>
      <c r="O6" s="33">
        <v>18.5</v>
      </c>
      <c r="P6" s="33">
        <v>18.5</v>
      </c>
      <c r="Q6" s="33">
        <v>19</v>
      </c>
      <c r="R6" s="33">
        <v>19.100000000000001</v>
      </c>
      <c r="S6" s="33">
        <v>18.600000000000001</v>
      </c>
      <c r="T6" s="33">
        <v>18.7</v>
      </c>
      <c r="U6" s="33">
        <v>20.2</v>
      </c>
      <c r="V6" s="33">
        <v>20.8</v>
      </c>
      <c r="W6" s="33">
        <v>21.7</v>
      </c>
      <c r="X6" s="33">
        <v>23.2</v>
      </c>
      <c r="Y6" s="33">
        <v>24.3</v>
      </c>
    </row>
    <row r="7" spans="1:25" ht="51.75" x14ac:dyDescent="0.25">
      <c r="A7" s="20" t="s">
        <v>786</v>
      </c>
      <c r="B7" s="33">
        <v>13</v>
      </c>
      <c r="C7" s="33">
        <v>12.3</v>
      </c>
      <c r="D7" s="33">
        <v>12.2</v>
      </c>
      <c r="E7" s="33">
        <v>12.9</v>
      </c>
      <c r="F7" s="33">
        <v>13.7</v>
      </c>
      <c r="G7" s="33">
        <v>14.8</v>
      </c>
      <c r="H7" s="33">
        <v>14.9</v>
      </c>
      <c r="I7" s="33">
        <v>15.6</v>
      </c>
      <c r="J7" s="33">
        <v>15.9</v>
      </c>
      <c r="K7" s="33">
        <v>16.3</v>
      </c>
      <c r="L7" s="33">
        <v>16.100000000000001</v>
      </c>
      <c r="M7" s="33">
        <v>15.8</v>
      </c>
      <c r="N7" s="33">
        <v>16</v>
      </c>
      <c r="O7" s="33">
        <v>15.4</v>
      </c>
      <c r="P7" s="33">
        <v>15.3</v>
      </c>
      <c r="Q7" s="33">
        <v>15.9</v>
      </c>
      <c r="R7" s="33">
        <v>16</v>
      </c>
      <c r="S7" s="33">
        <v>15.6</v>
      </c>
      <c r="T7" s="33">
        <v>15.8</v>
      </c>
      <c r="U7" s="33">
        <v>15.4</v>
      </c>
      <c r="V7" s="33">
        <v>15.8</v>
      </c>
      <c r="W7" s="33">
        <v>15.2</v>
      </c>
      <c r="X7" s="33">
        <v>15.3</v>
      </c>
      <c r="Y7" s="33">
        <v>15.6</v>
      </c>
    </row>
    <row r="8" spans="1:25" x14ac:dyDescent="0.25">
      <c r="A8" s="2" t="s">
        <v>787</v>
      </c>
      <c r="B8" s="54">
        <f t="shared" ref="B8:Y8" si="0">SUM(B4:B7)</f>
        <v>152.30000000000001</v>
      </c>
      <c r="C8" s="54">
        <f t="shared" si="0"/>
        <v>153.80000000000001</v>
      </c>
      <c r="D8" s="54">
        <f t="shared" si="0"/>
        <v>161.39999999999998</v>
      </c>
      <c r="E8" s="54">
        <f t="shared" si="0"/>
        <v>166.3</v>
      </c>
      <c r="F8" s="54">
        <f t="shared" si="0"/>
        <v>170.49999999999997</v>
      </c>
      <c r="G8" s="54">
        <f t="shared" si="0"/>
        <v>171.8</v>
      </c>
      <c r="H8" s="54">
        <f t="shared" si="0"/>
        <v>170.4</v>
      </c>
      <c r="I8" s="54">
        <f t="shared" si="0"/>
        <v>168.6</v>
      </c>
      <c r="J8" s="54">
        <f t="shared" si="0"/>
        <v>169.29999999999998</v>
      </c>
      <c r="K8" s="54">
        <f t="shared" si="0"/>
        <v>173.3</v>
      </c>
      <c r="L8" s="54">
        <f t="shared" si="0"/>
        <v>180.6</v>
      </c>
      <c r="M8" s="54">
        <f t="shared" si="0"/>
        <v>180.20000000000002</v>
      </c>
      <c r="N8" s="54">
        <f t="shared" si="0"/>
        <v>184.70000000000002</v>
      </c>
      <c r="O8" s="54">
        <f t="shared" si="0"/>
        <v>188.50000000000003</v>
      </c>
      <c r="P8" s="54">
        <f t="shared" si="0"/>
        <v>188.3</v>
      </c>
      <c r="Q8" s="54">
        <f t="shared" si="0"/>
        <v>195.3</v>
      </c>
      <c r="R8" s="54">
        <f t="shared" si="0"/>
        <v>199.9</v>
      </c>
      <c r="S8" s="54">
        <f t="shared" si="0"/>
        <v>199.29999999999998</v>
      </c>
      <c r="T8" s="54">
        <f t="shared" si="0"/>
        <v>206.5</v>
      </c>
      <c r="U8" s="54">
        <f t="shared" si="0"/>
        <v>205.5</v>
      </c>
      <c r="V8" s="54">
        <f t="shared" si="0"/>
        <v>213.40000000000003</v>
      </c>
      <c r="W8" s="54">
        <f t="shared" si="0"/>
        <v>220.09999999999997</v>
      </c>
      <c r="X8" s="54">
        <f t="shared" si="0"/>
        <v>219.4</v>
      </c>
      <c r="Y8" s="54">
        <f t="shared" si="0"/>
        <v>224.10000000000002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Y7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H1"/>
    </sheetView>
  </sheetViews>
  <sheetFormatPr defaultRowHeight="15" x14ac:dyDescent="0.25"/>
  <cols>
    <col min="2" max="25" width="10" customWidth="1"/>
  </cols>
  <sheetData>
    <row r="1" spans="1:25" ht="20.25" x14ac:dyDescent="0.3">
      <c r="A1" s="66" t="s">
        <v>788</v>
      </c>
      <c r="B1" s="64"/>
      <c r="C1" s="64"/>
      <c r="D1" s="64"/>
      <c r="E1" s="64"/>
      <c r="F1" s="64"/>
      <c r="G1" s="64"/>
      <c r="H1" s="64"/>
    </row>
    <row r="2" spans="1:25" x14ac:dyDescent="0.25">
      <c r="A2" s="72" t="s">
        <v>726</v>
      </c>
      <c r="B2" s="64"/>
      <c r="C2" s="64"/>
      <c r="D2" s="64"/>
      <c r="E2" s="64"/>
      <c r="F2" s="64"/>
      <c r="G2" s="64"/>
      <c r="H2" s="64"/>
    </row>
    <row r="3" spans="1:25" x14ac:dyDescent="0.25">
      <c r="B3" s="52" t="s">
        <v>727</v>
      </c>
      <c r="C3" s="52" t="s">
        <v>728</v>
      </c>
      <c r="D3" s="52" t="s">
        <v>729</v>
      </c>
      <c r="E3" s="52" t="s">
        <v>730</v>
      </c>
      <c r="F3" s="52" t="s">
        <v>731</v>
      </c>
      <c r="G3" s="52" t="s">
        <v>732</v>
      </c>
      <c r="H3" s="52" t="s">
        <v>733</v>
      </c>
      <c r="I3" s="52" t="s">
        <v>734</v>
      </c>
      <c r="J3" s="52" t="s">
        <v>735</v>
      </c>
      <c r="K3" s="52" t="s">
        <v>736</v>
      </c>
      <c r="L3" s="52" t="s">
        <v>737</v>
      </c>
      <c r="M3" s="52" t="s">
        <v>738</v>
      </c>
      <c r="N3" s="52" t="s">
        <v>739</v>
      </c>
      <c r="O3" s="52" t="s">
        <v>740</v>
      </c>
      <c r="P3" s="52" t="s">
        <v>741</v>
      </c>
      <c r="Q3" s="52" t="s">
        <v>742</v>
      </c>
      <c r="R3" s="52" t="s">
        <v>743</v>
      </c>
      <c r="S3" s="52" t="s">
        <v>744</v>
      </c>
      <c r="T3" s="52" t="s">
        <v>745</v>
      </c>
      <c r="U3" s="52" t="s">
        <v>746</v>
      </c>
      <c r="V3" s="52" t="s">
        <v>747</v>
      </c>
      <c r="W3" s="52" t="s">
        <v>748</v>
      </c>
      <c r="X3" s="52" t="s">
        <v>749</v>
      </c>
      <c r="Y3" s="52" t="s">
        <v>750</v>
      </c>
    </row>
    <row r="4" spans="1:25" ht="90" x14ac:dyDescent="0.25">
      <c r="A4" s="20" t="s">
        <v>789</v>
      </c>
      <c r="B4" s="33">
        <v>0.44</v>
      </c>
      <c r="C4" s="33">
        <v>1.3</v>
      </c>
      <c r="D4" s="33">
        <v>0.59</v>
      </c>
      <c r="E4" s="33">
        <v>1.05</v>
      </c>
      <c r="F4" s="33">
        <v>0.47</v>
      </c>
      <c r="G4" s="33">
        <v>0.93</v>
      </c>
      <c r="H4" s="33">
        <v>0.7</v>
      </c>
      <c r="I4" s="33">
        <v>0.86</v>
      </c>
      <c r="J4" s="33">
        <v>1.47</v>
      </c>
      <c r="K4" s="33">
        <v>0.93</v>
      </c>
      <c r="L4" s="33">
        <v>1.45</v>
      </c>
      <c r="M4" s="33">
        <v>1.56</v>
      </c>
      <c r="N4" s="33">
        <v>0.75</v>
      </c>
      <c r="O4" s="33">
        <v>0.51</v>
      </c>
      <c r="P4" s="33">
        <v>0.43</v>
      </c>
      <c r="Q4" s="33">
        <v>1.1599999999999999</v>
      </c>
      <c r="R4" s="33">
        <v>1.8</v>
      </c>
      <c r="S4" s="33">
        <v>0.89</v>
      </c>
      <c r="T4" s="33">
        <v>1.31</v>
      </c>
      <c r="U4" s="33">
        <v>1.49</v>
      </c>
      <c r="V4" s="33">
        <v>1.31</v>
      </c>
      <c r="W4" s="33">
        <v>1.46</v>
      </c>
      <c r="X4" s="33">
        <v>1.73</v>
      </c>
      <c r="Y4" s="33">
        <v>0.68</v>
      </c>
    </row>
    <row r="5" spans="1:25" ht="77.25" x14ac:dyDescent="0.25">
      <c r="A5" s="20" t="s">
        <v>790</v>
      </c>
      <c r="B5" s="33">
        <v>0.11</v>
      </c>
      <c r="C5" s="33">
        <v>0.18</v>
      </c>
      <c r="D5" s="33">
        <v>0.16</v>
      </c>
      <c r="E5" s="33">
        <v>0.43</v>
      </c>
      <c r="F5" s="33">
        <v>0.38</v>
      </c>
      <c r="G5" s="33">
        <v>0.21</v>
      </c>
      <c r="H5" s="33">
        <v>0.45</v>
      </c>
      <c r="I5" s="33">
        <v>0.48</v>
      </c>
      <c r="J5" s="33">
        <v>0.18</v>
      </c>
      <c r="K5" s="33">
        <v>0.4</v>
      </c>
      <c r="L5" s="33">
        <v>0.47</v>
      </c>
      <c r="M5" s="33">
        <v>0.16</v>
      </c>
      <c r="N5" s="33">
        <v>0.51</v>
      </c>
      <c r="O5" s="33">
        <v>0.57999999999999996</v>
      </c>
      <c r="P5" s="33">
        <v>0.15</v>
      </c>
      <c r="Q5" s="33">
        <v>0.11</v>
      </c>
      <c r="R5" s="33">
        <v>0.26</v>
      </c>
      <c r="S5" s="33">
        <v>0.44</v>
      </c>
      <c r="T5" s="33">
        <v>0.57999999999999996</v>
      </c>
      <c r="U5" s="33">
        <v>0.3</v>
      </c>
      <c r="V5" s="33">
        <v>0.46</v>
      </c>
      <c r="W5" s="33">
        <v>0.14000000000000001</v>
      </c>
      <c r="X5" s="33">
        <v>0.45</v>
      </c>
      <c r="Y5" s="33">
        <v>0.41</v>
      </c>
    </row>
    <row r="6" spans="1:25" ht="64.5" x14ac:dyDescent="0.25">
      <c r="A6" s="20" t="s">
        <v>791</v>
      </c>
      <c r="B6" s="33">
        <v>0.08</v>
      </c>
      <c r="C6" s="33">
        <v>0.28000000000000003</v>
      </c>
      <c r="D6" s="33">
        <v>0.31</v>
      </c>
      <c r="E6" s="33">
        <v>0.23</v>
      </c>
      <c r="F6" s="33">
        <v>0.09</v>
      </c>
      <c r="G6" s="33">
        <v>0.35</v>
      </c>
      <c r="H6" s="33">
        <v>0.28000000000000003</v>
      </c>
      <c r="I6" s="33">
        <v>0.15</v>
      </c>
      <c r="J6" s="33">
        <v>0.18</v>
      </c>
      <c r="K6" s="33">
        <v>0.16</v>
      </c>
      <c r="L6" s="33">
        <v>0.2</v>
      </c>
      <c r="M6" s="33">
        <v>0.15</v>
      </c>
      <c r="N6" s="33">
        <v>0.3</v>
      </c>
      <c r="O6" s="33">
        <v>0.3</v>
      </c>
      <c r="P6" s="33">
        <v>0.08</v>
      </c>
      <c r="Q6" s="33">
        <v>0.34</v>
      </c>
      <c r="R6" s="33">
        <v>0.24</v>
      </c>
      <c r="S6" s="33">
        <v>0.3</v>
      </c>
      <c r="T6" s="33">
        <v>0.26</v>
      </c>
      <c r="U6" s="33">
        <v>0.18</v>
      </c>
      <c r="V6" s="33">
        <v>0.27</v>
      </c>
      <c r="W6" s="33">
        <v>0.34</v>
      </c>
      <c r="X6" s="33">
        <v>0.13</v>
      </c>
      <c r="Y6" s="33">
        <v>0.28999999999999998</v>
      </c>
    </row>
    <row r="7" spans="1:25" ht="64.5" x14ac:dyDescent="0.25">
      <c r="A7" s="20" t="s">
        <v>792</v>
      </c>
      <c r="B7" s="33">
        <v>78.2</v>
      </c>
      <c r="C7" s="33">
        <v>78.3</v>
      </c>
      <c r="D7" s="33">
        <v>78.400000000000006</v>
      </c>
      <c r="E7" s="33">
        <v>80</v>
      </c>
      <c r="F7" s="33">
        <v>78.5</v>
      </c>
      <c r="G7" s="33">
        <v>81.2</v>
      </c>
      <c r="H7" s="33">
        <v>81.400000000000006</v>
      </c>
      <c r="I7" s="33">
        <v>78.8</v>
      </c>
      <c r="J7" s="33">
        <v>82.3</v>
      </c>
      <c r="K7" s="33">
        <v>80.099999999999994</v>
      </c>
      <c r="L7" s="33">
        <v>81.400000000000006</v>
      </c>
      <c r="M7" s="33">
        <v>82.3</v>
      </c>
      <c r="N7" s="33">
        <v>81.7</v>
      </c>
      <c r="O7" s="33">
        <v>80.7</v>
      </c>
      <c r="P7" s="33">
        <v>84.3</v>
      </c>
      <c r="Q7" s="33">
        <v>82</v>
      </c>
      <c r="R7" s="33">
        <v>82.4</v>
      </c>
      <c r="S7" s="33">
        <v>85.1</v>
      </c>
      <c r="T7" s="33">
        <v>83.7</v>
      </c>
      <c r="U7" s="33">
        <v>86.2</v>
      </c>
      <c r="V7" s="33">
        <v>85.8</v>
      </c>
      <c r="W7" s="33">
        <v>84.5</v>
      </c>
      <c r="X7" s="33">
        <v>83.7</v>
      </c>
      <c r="Y7" s="33">
        <v>87.8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Y7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H1"/>
    </sheetView>
  </sheetViews>
  <sheetFormatPr defaultRowHeight="15" x14ac:dyDescent="0.25"/>
  <cols>
    <col min="1" max="1" width="17.5703125" customWidth="1"/>
    <col min="2" max="25" width="10" customWidth="1"/>
  </cols>
  <sheetData>
    <row r="1" spans="1:25" ht="20.25" x14ac:dyDescent="0.3">
      <c r="A1" s="66" t="s">
        <v>793</v>
      </c>
      <c r="B1" s="64"/>
      <c r="C1" s="64"/>
      <c r="D1" s="64"/>
      <c r="E1" s="64"/>
      <c r="F1" s="64"/>
      <c r="G1" s="64"/>
      <c r="H1" s="64"/>
    </row>
    <row r="2" spans="1:25" x14ac:dyDescent="0.25">
      <c r="A2" s="72" t="s">
        <v>726</v>
      </c>
      <c r="B2" s="64"/>
      <c r="C2" s="64"/>
      <c r="D2" s="64"/>
      <c r="E2" s="64"/>
      <c r="F2" s="64"/>
      <c r="G2" s="64"/>
      <c r="H2" s="64"/>
    </row>
    <row r="3" spans="1:25" x14ac:dyDescent="0.25">
      <c r="B3" s="52" t="s">
        <v>727</v>
      </c>
      <c r="C3" s="52" t="s">
        <v>728</v>
      </c>
      <c r="D3" s="52" t="s">
        <v>729</v>
      </c>
      <c r="E3" s="52" t="s">
        <v>730</v>
      </c>
      <c r="F3" s="52" t="s">
        <v>731</v>
      </c>
      <c r="G3" s="52" t="s">
        <v>732</v>
      </c>
      <c r="H3" s="52" t="s">
        <v>733</v>
      </c>
      <c r="I3" s="52" t="s">
        <v>734</v>
      </c>
      <c r="J3" s="52" t="s">
        <v>735</v>
      </c>
      <c r="K3" s="52" t="s">
        <v>736</v>
      </c>
      <c r="L3" s="52" t="s">
        <v>737</v>
      </c>
      <c r="M3" s="52" t="s">
        <v>738</v>
      </c>
      <c r="N3" s="52" t="s">
        <v>739</v>
      </c>
      <c r="O3" s="52" t="s">
        <v>740</v>
      </c>
      <c r="P3" s="52" t="s">
        <v>741</v>
      </c>
      <c r="Q3" s="52" t="s">
        <v>742</v>
      </c>
      <c r="R3" s="52" t="s">
        <v>743</v>
      </c>
      <c r="S3" s="52" t="s">
        <v>744</v>
      </c>
      <c r="T3" s="52" t="s">
        <v>745</v>
      </c>
      <c r="U3" s="52" t="s">
        <v>746</v>
      </c>
      <c r="V3" s="52" t="s">
        <v>747</v>
      </c>
      <c r="W3" s="52" t="s">
        <v>748</v>
      </c>
      <c r="X3" s="52" t="s">
        <v>749</v>
      </c>
      <c r="Y3" s="52" t="s">
        <v>750</v>
      </c>
    </row>
    <row r="4" spans="1:25" ht="39" x14ac:dyDescent="0.25">
      <c r="A4" s="20" t="s">
        <v>794</v>
      </c>
      <c r="B4" s="25">
        <v>128</v>
      </c>
      <c r="C4" s="25">
        <v>135</v>
      </c>
      <c r="D4" s="25">
        <v>137</v>
      </c>
      <c r="E4" s="25">
        <v>142</v>
      </c>
      <c r="F4" s="25">
        <v>146</v>
      </c>
      <c r="G4" s="25">
        <v>149</v>
      </c>
      <c r="H4" s="25">
        <v>152</v>
      </c>
      <c r="I4" s="25">
        <v>157</v>
      </c>
      <c r="J4" s="25">
        <v>156</v>
      </c>
      <c r="K4" s="25">
        <v>161</v>
      </c>
      <c r="L4" s="25">
        <v>167</v>
      </c>
      <c r="M4" s="25">
        <v>168</v>
      </c>
      <c r="N4" s="25">
        <v>174</v>
      </c>
      <c r="O4" s="25">
        <v>177</v>
      </c>
      <c r="P4" s="25">
        <v>181</v>
      </c>
      <c r="Q4" s="25">
        <v>184</v>
      </c>
      <c r="R4" s="25">
        <v>189</v>
      </c>
      <c r="S4" s="25">
        <v>190</v>
      </c>
      <c r="T4" s="25">
        <v>196</v>
      </c>
      <c r="U4" s="25">
        <v>197</v>
      </c>
      <c r="V4" s="25">
        <v>201</v>
      </c>
      <c r="W4" s="25">
        <v>203</v>
      </c>
      <c r="X4" s="25">
        <v>207</v>
      </c>
      <c r="Y4" s="25">
        <v>211</v>
      </c>
    </row>
    <row r="5" spans="1:25" ht="39" x14ac:dyDescent="0.25">
      <c r="A5" s="20" t="s">
        <v>795</v>
      </c>
      <c r="B5" s="34">
        <v>0.114</v>
      </c>
      <c r="C5" s="34">
        <v>0.13600000000000001</v>
      </c>
      <c r="D5" s="34">
        <v>7.9000000000000001E-2</v>
      </c>
      <c r="E5" s="34">
        <v>8.2000000000000003E-2</v>
      </c>
      <c r="F5" s="34">
        <v>0.108</v>
      </c>
      <c r="G5" s="34">
        <v>0.13200000000000001</v>
      </c>
      <c r="H5" s="34">
        <v>0.158</v>
      </c>
      <c r="I5" s="34">
        <v>0.112</v>
      </c>
      <c r="J5" s="34">
        <v>8.7999999999999995E-2</v>
      </c>
      <c r="K5" s="34">
        <v>7.0000000000000007E-2</v>
      </c>
      <c r="L5" s="34">
        <v>7.9000000000000001E-2</v>
      </c>
      <c r="M5" s="34">
        <v>8.3000000000000004E-2</v>
      </c>
      <c r="N5" s="34">
        <v>7.8E-2</v>
      </c>
      <c r="O5" s="34">
        <v>6.0999999999999999E-2</v>
      </c>
      <c r="P5" s="34">
        <v>0.113</v>
      </c>
      <c r="Q5" s="34">
        <v>8.6999999999999994E-2</v>
      </c>
      <c r="R5" s="34">
        <v>0.157</v>
      </c>
      <c r="S5" s="34">
        <v>0.115</v>
      </c>
      <c r="T5" s="34">
        <v>0.13</v>
      </c>
      <c r="U5" s="34">
        <v>7.2999999999999995E-2</v>
      </c>
      <c r="V5" s="34">
        <v>0.14699999999999999</v>
      </c>
      <c r="W5" s="34">
        <v>0.109</v>
      </c>
      <c r="X5" s="34">
        <v>0.14699999999999999</v>
      </c>
      <c r="Y5" s="34">
        <v>0.11700000000000001</v>
      </c>
    </row>
    <row r="6" spans="1:25" ht="26.25" x14ac:dyDescent="0.25">
      <c r="A6" s="20" t="s">
        <v>796</v>
      </c>
      <c r="B6" s="34">
        <v>8.6999999999999994E-2</v>
      </c>
      <c r="C6" s="34">
        <v>8.4000000000000005E-2</v>
      </c>
      <c r="D6" s="34">
        <v>5.8000000000000003E-2</v>
      </c>
      <c r="E6" s="34">
        <v>4.4999999999999998E-2</v>
      </c>
      <c r="F6" s="34">
        <v>0.13400000000000001</v>
      </c>
      <c r="G6" s="34">
        <v>8.7999999999999995E-2</v>
      </c>
      <c r="H6" s="34">
        <v>0.122</v>
      </c>
      <c r="I6" s="34">
        <v>0.08</v>
      </c>
      <c r="J6" s="34">
        <v>4.7E-2</v>
      </c>
      <c r="K6" s="34">
        <v>0.10299999999999999</v>
      </c>
      <c r="L6" s="34">
        <v>4.4999999999999998E-2</v>
      </c>
      <c r="M6" s="34">
        <v>5.5E-2</v>
      </c>
      <c r="N6" s="34">
        <v>9.6000000000000002E-2</v>
      </c>
      <c r="O6" s="34">
        <v>7.0000000000000007E-2</v>
      </c>
      <c r="P6" s="34">
        <v>0.13900000000000001</v>
      </c>
      <c r="Q6" s="34">
        <v>5.1999999999999998E-2</v>
      </c>
      <c r="R6" s="34">
        <v>0.11600000000000001</v>
      </c>
      <c r="S6" s="34">
        <v>0.10100000000000001</v>
      </c>
      <c r="T6" s="34">
        <v>0.11899999999999999</v>
      </c>
      <c r="U6" s="34">
        <v>6.3E-2</v>
      </c>
      <c r="V6" s="34">
        <v>9.1999999999999998E-2</v>
      </c>
      <c r="W6" s="34">
        <v>8.5000000000000006E-2</v>
      </c>
      <c r="X6" s="34">
        <v>8.4000000000000005E-2</v>
      </c>
      <c r="Y6" s="34">
        <v>0.126</v>
      </c>
    </row>
    <row r="7" spans="1:25" ht="51.75" x14ac:dyDescent="0.25">
      <c r="A7" s="20" t="s">
        <v>797</v>
      </c>
      <c r="B7" s="33">
        <v>8.9</v>
      </c>
      <c r="C7" s="33">
        <v>4.8</v>
      </c>
      <c r="D7" s="33">
        <v>6.7</v>
      </c>
      <c r="E7" s="33">
        <v>6.7</v>
      </c>
      <c r="F7" s="33">
        <v>7.4</v>
      </c>
      <c r="G7" s="33">
        <v>8.6999999999999993</v>
      </c>
      <c r="H7" s="33">
        <v>4.2</v>
      </c>
      <c r="I7" s="33">
        <v>4.3</v>
      </c>
      <c r="J7" s="33">
        <v>7</v>
      </c>
      <c r="K7" s="33">
        <v>3.9</v>
      </c>
      <c r="L7" s="33">
        <v>4</v>
      </c>
      <c r="M7" s="33">
        <v>3.5</v>
      </c>
      <c r="N7" s="33">
        <v>3</v>
      </c>
      <c r="O7" s="33">
        <v>5.7</v>
      </c>
      <c r="P7" s="33">
        <v>6.6</v>
      </c>
      <c r="Q7" s="33">
        <v>4.7</v>
      </c>
      <c r="R7" s="33">
        <v>4.4000000000000004</v>
      </c>
      <c r="S7" s="33">
        <v>7.2</v>
      </c>
      <c r="T7" s="33">
        <v>7.2</v>
      </c>
      <c r="U7" s="33">
        <v>5.7</v>
      </c>
      <c r="V7" s="33">
        <v>7.1</v>
      </c>
      <c r="W7" s="33">
        <v>8.5</v>
      </c>
      <c r="X7" s="33">
        <v>7.7</v>
      </c>
      <c r="Y7" s="33">
        <v>6.8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21"/>
  <sheetViews>
    <sheetView showGridLines="0" tabSelected="1" workbookViewId="0">
      <selection sqref="A1:D1"/>
    </sheetView>
  </sheetViews>
  <sheetFormatPr defaultRowHeight="15" x14ac:dyDescent="0.25"/>
  <cols>
    <col min="1" max="1" width="24" customWidth="1"/>
    <col min="2" max="2" width="30" customWidth="1"/>
    <col min="3" max="3" width="40" customWidth="1"/>
    <col min="4" max="4" width="30.140625" customWidth="1"/>
  </cols>
  <sheetData>
    <row r="1" spans="1:4" ht="20.25" x14ac:dyDescent="0.3">
      <c r="A1" s="66" t="s">
        <v>798</v>
      </c>
      <c r="B1" s="64"/>
      <c r="C1" s="64"/>
      <c r="D1" s="64"/>
    </row>
    <row r="2" spans="1:4" x14ac:dyDescent="0.25">
      <c r="A2" s="65" t="s">
        <v>799</v>
      </c>
      <c r="B2" s="64"/>
      <c r="C2" s="64"/>
      <c r="D2" s="64"/>
    </row>
    <row r="3" spans="1:4" x14ac:dyDescent="0.25">
      <c r="A3" s="67" t="s">
        <v>800</v>
      </c>
      <c r="B3" s="64"/>
      <c r="C3" s="64"/>
      <c r="D3" s="64"/>
    </row>
    <row r="4" spans="1:4" x14ac:dyDescent="0.25">
      <c r="A4" s="11" t="s">
        <v>801</v>
      </c>
      <c r="B4" s="11" t="s">
        <v>802</v>
      </c>
      <c r="C4" s="11" t="s">
        <v>803</v>
      </c>
      <c r="D4" s="11" t="s">
        <v>804</v>
      </c>
    </row>
    <row r="5" spans="1:4" ht="26.1" customHeight="1" x14ac:dyDescent="0.25">
      <c r="A5" s="27" t="s">
        <v>805</v>
      </c>
      <c r="B5" s="14" t="s">
        <v>806</v>
      </c>
      <c r="C5" s="20" t="s">
        <v>807</v>
      </c>
      <c r="D5" s="62" t="s">
        <v>808</v>
      </c>
    </row>
    <row r="6" spans="1:4" ht="26.1" customHeight="1" x14ac:dyDescent="0.25">
      <c r="A6" s="27" t="s">
        <v>809</v>
      </c>
      <c r="B6" s="14" t="s">
        <v>806</v>
      </c>
      <c r="C6" s="20" t="s">
        <v>810</v>
      </c>
      <c r="D6" s="62" t="s">
        <v>811</v>
      </c>
    </row>
    <row r="7" spans="1:4" ht="26.1" customHeight="1" x14ac:dyDescent="0.25">
      <c r="A7" s="27" t="s">
        <v>812</v>
      </c>
      <c r="B7" s="14" t="s">
        <v>806</v>
      </c>
      <c r="C7" s="20" t="s">
        <v>813</v>
      </c>
      <c r="D7" s="62" t="s">
        <v>814</v>
      </c>
    </row>
    <row r="8" spans="1:4" ht="26.1" customHeight="1" x14ac:dyDescent="0.25">
      <c r="A8" s="27" t="s">
        <v>815</v>
      </c>
      <c r="B8" s="14" t="s">
        <v>806</v>
      </c>
      <c r="C8" s="20" t="s">
        <v>816</v>
      </c>
      <c r="D8" s="62" t="s">
        <v>817</v>
      </c>
    </row>
    <row r="9" spans="1:4" ht="26.1" customHeight="1" x14ac:dyDescent="0.25">
      <c r="A9" s="27" t="s">
        <v>818</v>
      </c>
      <c r="B9" s="14" t="s">
        <v>819</v>
      </c>
      <c r="C9" s="20" t="s">
        <v>820</v>
      </c>
      <c r="D9" s="62" t="s">
        <v>821</v>
      </c>
    </row>
    <row r="10" spans="1:4" ht="26.1" customHeight="1" x14ac:dyDescent="0.25">
      <c r="A10" s="27" t="s">
        <v>822</v>
      </c>
      <c r="B10" s="14" t="s">
        <v>823</v>
      </c>
      <c r="C10" s="20" t="s">
        <v>824</v>
      </c>
      <c r="D10" s="62" t="s">
        <v>825</v>
      </c>
    </row>
    <row r="11" spans="1:4" ht="26.1" customHeight="1" x14ac:dyDescent="0.25">
      <c r="A11" s="27" t="s">
        <v>826</v>
      </c>
      <c r="B11" s="14" t="s">
        <v>806</v>
      </c>
      <c r="C11" s="20" t="s">
        <v>827</v>
      </c>
      <c r="D11" s="62" t="s">
        <v>828</v>
      </c>
    </row>
    <row r="12" spans="1:4" ht="26.1" customHeight="1" x14ac:dyDescent="0.25">
      <c r="A12" s="27" t="s">
        <v>829</v>
      </c>
      <c r="B12" s="14" t="s">
        <v>806</v>
      </c>
      <c r="C12" s="20" t="s">
        <v>830</v>
      </c>
      <c r="D12" s="62" t="s">
        <v>831</v>
      </c>
    </row>
    <row r="14" spans="1:4" x14ac:dyDescent="0.25">
      <c r="A14" s="67" t="s">
        <v>832</v>
      </c>
      <c r="B14" s="64"/>
      <c r="C14" s="64"/>
      <c r="D14" s="64"/>
    </row>
    <row r="15" spans="1:4" x14ac:dyDescent="0.25">
      <c r="A15" s="11" t="s">
        <v>801</v>
      </c>
      <c r="B15" s="11" t="s">
        <v>833</v>
      </c>
      <c r="C15" s="11"/>
      <c r="D15" s="11"/>
    </row>
    <row r="16" spans="1:4" ht="21.95" customHeight="1" x14ac:dyDescent="0.25">
      <c r="A16" s="27" t="s">
        <v>834</v>
      </c>
      <c r="B16" s="73" t="s">
        <v>835</v>
      </c>
      <c r="C16" s="64"/>
      <c r="D16" s="64"/>
    </row>
    <row r="17" spans="1:4" ht="21.95" customHeight="1" x14ac:dyDescent="0.25">
      <c r="A17" s="27" t="s">
        <v>836</v>
      </c>
      <c r="B17" s="73" t="s">
        <v>837</v>
      </c>
      <c r="C17" s="64"/>
      <c r="D17" s="64"/>
    </row>
    <row r="18" spans="1:4" ht="21.95" customHeight="1" x14ac:dyDescent="0.25">
      <c r="A18" s="27" t="s">
        <v>838</v>
      </c>
      <c r="B18" s="73" t="s">
        <v>839</v>
      </c>
      <c r="C18" s="64"/>
      <c r="D18" s="64"/>
    </row>
    <row r="19" spans="1:4" ht="21.95" customHeight="1" x14ac:dyDescent="0.25">
      <c r="A19" s="27" t="s">
        <v>840</v>
      </c>
      <c r="B19" s="73" t="s">
        <v>841</v>
      </c>
      <c r="C19" s="64"/>
      <c r="D19" s="64"/>
    </row>
    <row r="21" spans="1:4" x14ac:dyDescent="0.25">
      <c r="A21" s="63" t="s">
        <v>842</v>
      </c>
      <c r="B21" s="64"/>
      <c r="C21" s="64"/>
      <c r="D21" s="64"/>
    </row>
  </sheetData>
  <mergeCells count="9">
    <mergeCell ref="A1:D1"/>
    <mergeCell ref="B19:D19"/>
    <mergeCell ref="A3:D3"/>
    <mergeCell ref="A21:D21"/>
    <mergeCell ref="B17:D17"/>
    <mergeCell ref="B18:D18"/>
    <mergeCell ref="A2:D2"/>
    <mergeCell ref="B16:D1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Cover</vt:lpstr>
      <vt:lpstr>01_Project_Charter</vt:lpstr>
      <vt:lpstr>Source_Register</vt:lpstr>
      <vt:lpstr>02_Assumptions</vt:lpstr>
      <vt:lpstr>03_Himachal_Market_Data</vt:lpstr>
      <vt:lpstr>04_Location_Analysis</vt:lpstr>
      <vt:lpstr>05_Hospital_Profile</vt:lpstr>
      <vt:lpstr>06_Hospital_Design</vt:lpstr>
      <vt:lpstr>07_Bed_Mix</vt:lpstr>
      <vt:lpstr>08_Department_Planning</vt:lpstr>
      <vt:lpstr>09_Manpower</vt:lpstr>
      <vt:lpstr>10_CAPEX</vt:lpstr>
      <vt:lpstr>11_OPEX</vt:lpstr>
      <vt:lpstr>12_Revenue</vt:lpstr>
      <vt:lpstr>13_PL</vt:lpstr>
      <vt:lpstr>14_Cash_Flow</vt:lpstr>
      <vt:lpstr>15_Break_Even</vt:lpstr>
      <vt:lpstr>16_Sensitivity</vt:lpstr>
      <vt:lpstr>17_Operations_KPIs</vt:lpstr>
      <vt:lpstr>18_Patient_Flow</vt:lpstr>
      <vt:lpstr>19_NABH_Readiness</vt:lpstr>
      <vt:lpstr>20_Competitor_Benchmark</vt:lpstr>
      <vt:lpstr>21_Analytics_OPD</vt:lpstr>
      <vt:lpstr>22_Analytics_IPD</vt:lpstr>
      <vt:lpstr>23_Analytics_Emergency_OT</vt:lpstr>
      <vt:lpstr>24_Analytics_Diag_Pharmacy</vt:lpstr>
      <vt:lpstr>25_Analytics_Beds_Occupancy</vt:lpstr>
      <vt:lpstr>26_Analytics_Revenue</vt:lpstr>
      <vt:lpstr>27_Analytics_Quality</vt:lpstr>
      <vt:lpstr>28_Analytics_HR</vt:lpstr>
      <vt:lpstr>29_Data_Dictionary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2026-09-15T04:25:51Z</dcterms:created>
  <dcterms:modified xsi:type="dcterms:W3CDTF">2026-09-22T05:20:38Z</dcterms:modified>
</cp:coreProperties>
</file>